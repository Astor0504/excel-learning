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基礎函式" sheetId="1" state="visible" r:id="rId1"/>
    <sheet xmlns:r="http://schemas.openxmlformats.org/officeDocument/2006/relationships" name="📐 條件判斷" sheetId="2" state="visible" r:id="rId2"/>
    <sheet xmlns:r="http://schemas.openxmlformats.org/officeDocument/2006/relationships" name="🔍 查找比對" sheetId="3" state="visible" r:id="rId3"/>
    <sheet xmlns:r="http://schemas.openxmlformats.org/officeDocument/2006/relationships" name="📈 條件統計" sheetId="4" state="visible" r:id="rId4"/>
    <sheet xmlns:r="http://schemas.openxmlformats.org/officeDocument/2006/relationships" name="✂️ 文字與日期" sheetId="5" state="visible" r:id="rId5"/>
    <sheet xmlns:r="http://schemas.openxmlformats.org/officeDocument/2006/relationships" name="🔢 陣列與動態" sheetId="6" state="visible" r:id="rId6"/>
    <sheet xmlns:r="http://schemas.openxmlformats.org/officeDocument/2006/relationships" name="🏆 進階綜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60a5fa"/>
      <sz val="16"/>
    </font>
    <font>
      <name val="Arial"/>
      <i val="1"/>
      <color rgb="0094a3b8"/>
      <sz val="10"/>
    </font>
    <font>
      <name val="Arial"/>
      <b val="1"/>
      <color rgb="00e2e8f0"/>
      <sz val="11"/>
    </font>
    <font>
      <name val="Arial"/>
      <b val="1"/>
      <color rgb="00FFFFFF"/>
      <sz val="10"/>
    </font>
    <font>
      <name val="Arial"/>
      <color rgb="00e2e8f0"/>
      <sz val="10"/>
    </font>
    <font>
      <name val="Arial"/>
      <b val="1"/>
      <color rgb="0060a5fa"/>
      <sz val="11"/>
    </font>
    <font>
      <name val="Arial"/>
      <b val="1"/>
      <color rgb="00e2e8f0"/>
      <sz val="10"/>
    </font>
    <font>
      <name val="Arial"/>
      <sz val="10"/>
    </font>
    <font>
      <name val="Courier New"/>
      <color rgb="00fbbf24"/>
      <sz val="11"/>
    </font>
    <font>
      <name val="Courier New"/>
      <color rgb="000f172a"/>
      <sz val="10"/>
    </font>
    <font>
      <name val="Arial"/>
      <color rgb="001e293b"/>
      <sz val="9"/>
    </font>
    <font>
      <name val="Arial"/>
      <b val="1"/>
      <color rgb="00e2e8f0"/>
      <sz val="12"/>
    </font>
    <font>
      <name val="Arial"/>
      <b val="1"/>
      <color rgb="004ade80"/>
      <sz val="14"/>
    </font>
    <font>
      <color rgb="000f172a"/>
    </font>
    <font>
      <b val="1"/>
      <color rgb="00e2e8f0"/>
      <sz val="14"/>
    </font>
    <font>
      <color rgb="0094a3b8"/>
      <sz val="10"/>
    </font>
    <font>
      <b val="1"/>
      <color rgb="00e2e8f0"/>
      <sz val="11"/>
    </font>
    <font>
      <b val="1"/>
      <color rgb="00FFFFFF"/>
      <sz val="11"/>
    </font>
    <font>
      <color rgb="00e2e8f0"/>
      <sz val="11"/>
    </font>
    <font>
      <color rgb="004ade80"/>
      <sz val="11"/>
    </font>
    <font>
      <color rgb="00fbbf24"/>
      <sz val="11"/>
    </font>
    <font>
      <color rgb="001a1a2e"/>
      <sz val="10"/>
    </font>
    <font>
      <color rgb="0060a5fa"/>
      <sz val="11"/>
    </font>
    <font>
      <color rgb="00f87171"/>
      <sz val="11"/>
    </font>
    <font>
      <b val="1"/>
      <color rgb="004ade80"/>
      <sz val="12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052e16"/>
        <bgColor rgb="00052e16"/>
      </patternFill>
    </fill>
    <fill>
      <patternFill patternType="solid">
        <fgColor rgb="001a1a2e"/>
        <bgColor rgb="001a1a2e"/>
      </patternFill>
    </fill>
    <fill>
      <patternFill patternType="solid">
        <fgColor rgb="000c1e3a"/>
        <bgColor rgb="000c1e3a"/>
      </patternFill>
    </fill>
    <fill>
      <patternFill patternType="solid">
        <fgColor rgb="002d2006"/>
        <bgColor rgb="002d2006"/>
      </patternFill>
    </fill>
    <fill>
      <patternFill patternType="solid">
        <fgColor rgb="002d0a0a"/>
        <bgColor rgb="002d0a0a"/>
      </patternFill>
    </fill>
    <fill>
      <patternFill patternType="solid">
        <fgColor rgb="002d2a1a"/>
        <bgColor rgb="002d2a1a"/>
      </patternFill>
    </fill>
  </fills>
  <borders count="7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  <border>
      <left/>
      <right/>
      <top style="thin">
        <color rgb="00475569"/>
      </top>
      <bottom/>
      <diagonal/>
    </border>
    <border>
      <left/>
      <right style="thin">
        <color rgb="00475569"/>
      </right>
      <top style="thin">
        <color rgb="00475569"/>
      </top>
      <bottom/>
      <diagonal/>
    </border>
    <border>
      <left/>
      <right/>
      <top style="thin">
        <color rgb="00475569"/>
      </top>
      <bottom style="thin">
        <color rgb="00475569"/>
      </bottom>
      <diagonal/>
    </border>
    <border>
      <left/>
      <right style="thin">
        <color rgb="00475569"/>
      </right>
      <top style="thin">
        <color rgb="00475569"/>
      </top>
      <bottom style="thin">
        <color rgb="00475569"/>
      </bottom>
      <diagonal/>
    </border>
    <border>
      <left style="thin">
        <color rgb="00fbbf24"/>
      </left>
      <right style="thin">
        <color rgb="00fbbf24"/>
      </right>
      <top style="thin">
        <color rgb="00fbbf24"/>
      </top>
      <bottom style="thin">
        <color rgb="00fbbf24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/>
    </xf>
    <xf numFmtId="0" fontId="5" fillId="3" borderId="1" pivotButton="0" quotePrefix="0" xfId="0"/>
    <xf numFmtId="3" fontId="5" fillId="3" borderId="1" applyAlignment="1" pivotButton="0" quotePrefix="0" xfId="0">
      <alignment horizontal="right"/>
    </xf>
    <xf numFmtId="0" fontId="6" fillId="2" borderId="1" pivotButton="0" quotePrefix="0" xfId="0"/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5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vertical="center"/>
    </xf>
    <xf numFmtId="0" fontId="10" fillId="2" borderId="0" pivotButton="0" quotePrefix="0" xfId="0"/>
    <xf numFmtId="0" fontId="7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5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5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5" fillId="9" borderId="1" applyAlignment="1" pivotButton="0" quotePrefix="0" xfId="0">
      <alignment vertical="center" wrapText="1"/>
    </xf>
    <xf numFmtId="0" fontId="12" fillId="2" borderId="1" applyAlignment="1" pivotButton="0" quotePrefix="0" xfId="0">
      <alignment horizontal="right"/>
    </xf>
    <xf numFmtId="0" fontId="1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0" fontId="5" fillId="5" borderId="1" applyAlignment="1" pivotButton="0" quotePrefix="0" xfId="0">
      <alignment wrapText="1"/>
    </xf>
    <xf numFmtId="0" fontId="9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11" fillId="3" borderId="1" pivotButton="0" quotePrefix="0" xfId="0"/>
    <xf numFmtId="0" fontId="14" fillId="2" borderId="0" pivotButton="0" quotePrefix="0" xfId="0"/>
    <xf numFmtId="0" fontId="5" fillId="7" borderId="1" applyAlignment="1" pivotButton="0" quotePrefix="0" xfId="0">
      <alignment wrapText="1"/>
    </xf>
    <xf numFmtId="0" fontId="5" fillId="8" borderId="1" applyAlignment="1" pivotButton="0" quotePrefix="0" xfId="0">
      <alignment wrapText="1"/>
    </xf>
    <xf numFmtId="0" fontId="5" fillId="9" borderId="1" applyAlignment="1" pivotButton="0" quotePrefix="0" xfId="0">
      <alignment wrapText="1"/>
    </xf>
    <xf numFmtId="0" fontId="9" fillId="10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/>
    </xf>
    <xf numFmtId="0" fontId="15" fillId="2" borderId="0" pivotButton="0" quotePrefix="0" xfId="0"/>
    <xf numFmtId="0" fontId="0" fillId="2" borderId="0" pivotButton="0" quotePrefix="0" xfId="0"/>
    <xf numFmtId="0" fontId="16" fillId="2" borderId="0" pivotButton="0" quotePrefix="0" xfId="0"/>
    <xf numFmtId="0" fontId="17" fillId="4" borderId="0" pivotButton="0" quotePrefix="0" xfId="0"/>
    <xf numFmtId="0" fontId="18" fillId="3" borderId="0" pivotButton="0" quotePrefix="0" xfId="0"/>
    <xf numFmtId="0" fontId="19" fillId="6" borderId="0" pivotButton="0" quotePrefix="0" xfId="0"/>
    <xf numFmtId="0" fontId="18" fillId="4" borderId="0" pivotButton="0" quotePrefix="0" xfId="0"/>
    <xf numFmtId="0" fontId="20" fillId="6" borderId="0" pivotButton="0" quotePrefix="0" xfId="0"/>
    <xf numFmtId="0" fontId="21" fillId="10" borderId="6" pivotButton="0" quotePrefix="0" xfId="0"/>
    <xf numFmtId="0" fontId="22" fillId="6" borderId="0" pivotButton="0" quotePrefix="0" xfId="0"/>
    <xf numFmtId="0" fontId="23" fillId="6" borderId="0" pivotButton="0" quotePrefix="0" xfId="0"/>
    <xf numFmtId="0" fontId="21" fillId="6" borderId="0" pivotButton="0" quotePrefix="0" xfId="0"/>
    <xf numFmtId="0" fontId="24" fillId="6" borderId="0" pivotButton="0" quotePrefix="0" xfId="0"/>
    <xf numFmtId="0" fontId="17" fillId="2" borderId="0" pivotButton="0" quotePrefix="0" xfId="0"/>
    <xf numFmtId="0" fontId="25" fillId="2" borderId="0" pivotButton="0" quotePrefix="0" xfId="0"/>
  </cellXfs>
  <cellStyles count="1">
    <cellStyle name="Normal" xfId="0" builtinId="0" hidden="0"/>
  </cellStyles>
  <dxfs count="2">
    <dxf>
      <font>
        <b val="1"/>
        <color rgb="004ade80"/>
      </font>
      <fill>
        <patternFill patternType="solid">
          <fgColor rgb="000d4f2b"/>
          <bgColor rgb="000d4f2b"/>
        </patternFill>
      </fill>
    </dxf>
    <dxf>
      <font>
        <b val="1"/>
        <color rgb="00f87171"/>
      </font>
      <fill>
        <patternFill patternType="solid">
          <fgColor rgb="006b1010"/>
          <bgColor rgb="006b10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20" customWidth="1" min="4" max="4"/>
    <col width="10" customWidth="1" min="5" max="5"/>
    <col width="40" customWidth="1" min="6" max="6"/>
    <col width="5" customWidth="1" min="7" max="7"/>
    <col hidden="1" width="20" customWidth="1" min="8" max="8"/>
  </cols>
  <sheetData>
    <row r="1" ht="36" customHeight="1">
      <c r="A1" s="1" t="inlineStr">
        <is>
          <t>📊 基礎函式互動練習</t>
        </is>
      </c>
    </row>
    <row r="2">
      <c r="A2" s="2" t="inlineStr">
        <is>
          <t>在黃色格子輸入公式 → 答對自動變綠 ✅ 答錯變紅 ❌ ── 答案完全隱藏！</t>
        </is>
      </c>
    </row>
    <row r="4">
      <c r="A4" s="3" t="inlineStr">
        <is>
          <t>【練習資料】</t>
        </is>
      </c>
      <c r="B4" s="4" t="n"/>
      <c r="C4" s="4" t="n"/>
      <c r="D4" s="4" t="n"/>
      <c r="E4" s="4" t="n"/>
      <c r="F4" s="4" t="n"/>
      <c r="G4" s="5" t="n"/>
    </row>
    <row r="5">
      <c r="A5" s="6" t="inlineStr">
        <is>
          <t>姓名</t>
        </is>
      </c>
      <c r="B5" s="6" t="inlineStr">
        <is>
          <t>1月</t>
        </is>
      </c>
      <c r="C5" s="6" t="inlineStr">
        <is>
          <t>2月</t>
        </is>
      </c>
      <c r="D5" s="6" t="inlineStr">
        <is>
          <t>3月</t>
        </is>
      </c>
      <c r="E5" s="6" t="inlineStr">
        <is>
          <t>4月</t>
        </is>
      </c>
      <c r="F5" s="6" t="inlineStr">
        <is>
          <t>5月</t>
        </is>
      </c>
      <c r="G5" s="6" t="inlineStr">
        <is>
          <t>6月</t>
        </is>
      </c>
    </row>
    <row r="6">
      <c r="A6" s="7" t="inlineStr">
        <is>
          <t>王小明</t>
        </is>
      </c>
      <c r="B6" s="8" t="n">
        <v>42000</v>
      </c>
      <c r="C6" s="8" t="n">
        <v>38000</v>
      </c>
      <c r="D6" s="8" t="n">
        <v>51000</v>
      </c>
      <c r="E6" s="8" t="n">
        <v>47000</v>
      </c>
      <c r="F6" s="8" t="n">
        <v>55000</v>
      </c>
      <c r="G6" s="8" t="n">
        <v>60000</v>
      </c>
    </row>
    <row r="7">
      <c r="A7" s="7" t="inlineStr">
        <is>
          <t>林美華</t>
        </is>
      </c>
      <c r="B7" s="8" t="n">
        <v>35000</v>
      </c>
      <c r="C7" s="8" t="n">
        <v>41000</v>
      </c>
      <c r="D7" s="8" t="n">
        <v>39000</v>
      </c>
      <c r="E7" s="8" t="n">
        <v>43000</v>
      </c>
      <c r="F7" s="8" t="n">
        <v>40000</v>
      </c>
      <c r="G7" s="8" t="n">
        <v>38000</v>
      </c>
    </row>
    <row r="8">
      <c r="A8" s="7" t="inlineStr">
        <is>
          <t>張志偉</t>
        </is>
      </c>
      <c r="B8" s="8" t="n">
        <v>58000</v>
      </c>
      <c r="C8" s="8" t="n">
        <v>62000</v>
      </c>
      <c r="D8" s="8" t="n">
        <v>57000</v>
      </c>
      <c r="E8" s="8" t="n">
        <v>65000</v>
      </c>
      <c r="F8" s="8" t="n">
        <v>70000</v>
      </c>
      <c r="G8" s="8" t="n">
        <v>68000</v>
      </c>
    </row>
    <row r="9">
      <c r="A9" s="7" t="inlineStr">
        <is>
          <t>陳雅琪</t>
        </is>
      </c>
      <c r="B9" s="8" t="n">
        <v>29000</v>
      </c>
      <c r="C9" s="8" t="n">
        <v>33000</v>
      </c>
      <c r="D9" s="8" t="n">
        <v>31000</v>
      </c>
      <c r="E9" s="8" t="n">
        <v>36000</v>
      </c>
      <c r="F9" s="8" t="n">
        <v>34000</v>
      </c>
      <c r="G9" s="8" t="n">
        <v>37000</v>
      </c>
    </row>
    <row r="10">
      <c r="A10" s="7" t="inlineStr">
        <is>
          <t>李大明</t>
        </is>
      </c>
      <c r="B10" s="8" t="n">
        <v>45000</v>
      </c>
      <c r="C10" s="8" t="n">
        <v>48000</v>
      </c>
      <c r="D10" s="8" t="n">
        <v>52000</v>
      </c>
      <c r="E10" s="8" t="n">
        <v>50000</v>
      </c>
      <c r="F10" s="8" t="n">
        <v>46000</v>
      </c>
      <c r="G10" s="8" t="n">
        <v>51000</v>
      </c>
    </row>
    <row r="12">
      <c r="A12" s="9" t="inlineStr">
        <is>
          <t>【互動練習】在 D 欄輸入你的公式，答對 → 🟢 答錯 → 🔴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10" t="inlineStr">
        <is>
          <t>#</t>
        </is>
      </c>
      <c r="B13" s="10" t="inlineStr">
        <is>
          <t>難度</t>
        </is>
      </c>
      <c r="C13" s="10" t="inlineStr">
        <is>
          <t>任務描述</t>
        </is>
      </c>
      <c r="D13" s="10" t="inlineStr">
        <is>
          <t>你的答案 ▼</t>
        </is>
      </c>
      <c r="E13" s="10" t="inlineStr">
        <is>
          <t>結果</t>
        </is>
      </c>
      <c r="F13" s="10" t="inlineStr">
        <is>
          <t>提示（反白可見）</t>
        </is>
      </c>
    </row>
    <row r="14" ht="30" customHeight="1">
      <c r="A14" s="11" t="n">
        <v>1</v>
      </c>
      <c r="B14" s="12" t="inlineStr">
        <is>
          <t>🟢</t>
        </is>
      </c>
      <c r="C14" s="13" t="inlineStr">
        <is>
          <t>計算所有人 1 月業績總和</t>
        </is>
      </c>
      <c r="D14" s="39" t="n"/>
      <c r="E14" s="15">
        <f>IF(D14="","",IF(ROUND(D14,2)=ROUND(H14,2),"✅ 正確！","❌ 再想想"))</f>
        <v/>
      </c>
      <c r="F14" s="16" t="inlineStr">
        <is>
          <t>SUM(範圍)</t>
        </is>
      </c>
      <c r="H14" s="17">
        <f>SUM(B6:B10)</f>
        <v/>
      </c>
    </row>
    <row r="15" ht="30" customHeight="1">
      <c r="A15" s="11" t="n">
        <v>2</v>
      </c>
      <c r="B15" s="12" t="inlineStr">
        <is>
          <t>🟢</t>
        </is>
      </c>
      <c r="C15" s="13" t="inlineStr">
        <is>
          <t>計算 1 月的平均業績</t>
        </is>
      </c>
      <c r="D15" s="39" t="n"/>
      <c r="E15" s="15">
        <f>IF(D15="","",IF(ROUND(D15,2)=ROUND(H15,2),"✅ 正確！","❌ 再想想"))</f>
        <v/>
      </c>
      <c r="F15" s="16" t="inlineStr">
        <is>
          <t>AVERAGE(範圍)</t>
        </is>
      </c>
      <c r="H15" s="17">
        <f>AVERAGE(B6:B10)</f>
        <v/>
      </c>
    </row>
    <row r="16" ht="30" customHeight="1">
      <c r="A16" s="18" t="n">
        <v>3</v>
      </c>
      <c r="B16" s="19" t="inlineStr">
        <is>
          <t>🔵</t>
        </is>
      </c>
      <c r="C16" s="20" t="inlineStr">
        <is>
          <t>找出 1 月最高業績</t>
        </is>
      </c>
      <c r="D16" s="39" t="n"/>
      <c r="E16" s="15">
        <f>IF(D16="","",IF(ROUND(D16,2)=ROUND(H16,2),"✅ 正確！","❌ 再想想"))</f>
        <v/>
      </c>
      <c r="F16" s="16" t="inlineStr">
        <is>
          <t>MAX(範圍)</t>
        </is>
      </c>
      <c r="H16" s="17">
        <f>MAX(B6:B10)</f>
        <v/>
      </c>
    </row>
    <row r="17" ht="30" customHeight="1">
      <c r="A17" s="18" t="n">
        <v>4</v>
      </c>
      <c r="B17" s="19" t="inlineStr">
        <is>
          <t>🔵</t>
        </is>
      </c>
      <c r="C17" s="20" t="inlineStr">
        <is>
          <t>找出 1 月最低業績</t>
        </is>
      </c>
      <c r="D17" s="39" t="n"/>
      <c r="E17" s="15">
        <f>IF(D17="","",IF(ROUND(D17,2)=ROUND(H17,2),"✅ 正確！","❌ 再想想"))</f>
        <v/>
      </c>
      <c r="F17" s="16" t="inlineStr">
        <is>
          <t>MIN(範圍)</t>
        </is>
      </c>
      <c r="H17" s="17">
        <f>MIN(B6:B10)</f>
        <v/>
      </c>
    </row>
    <row r="18" ht="30" customHeight="1">
      <c r="A18" s="18" t="n">
        <v>5</v>
      </c>
      <c r="B18" s="19" t="inlineStr">
        <is>
          <t>🔵</t>
        </is>
      </c>
      <c r="C18" s="20" t="inlineStr">
        <is>
          <t>計算有幾位業務員（非空白格數）</t>
        </is>
      </c>
      <c r="D18" s="39" t="n"/>
      <c r="E18" s="15">
        <f>IF(D18="","",IF(ROUND(D18,2)=ROUND(H18,2),"✅ 正確！","❌ 再想想"))</f>
        <v/>
      </c>
      <c r="F18" s="16" t="inlineStr">
        <is>
          <t>COUNTA 數非空白</t>
        </is>
      </c>
      <c r="H18" s="17">
        <f>COUNTA(A6:A10)</f>
        <v/>
      </c>
    </row>
    <row r="19" ht="30" customHeight="1">
      <c r="A19" s="21" t="n">
        <v>6</v>
      </c>
      <c r="B19" s="22" t="inlineStr">
        <is>
          <t>🟡</t>
        </is>
      </c>
      <c r="C19" s="23" t="inlineStr">
        <is>
          <t>計算王小明 6 個月總業績</t>
        </is>
      </c>
      <c r="D19" s="39" t="n"/>
      <c r="E19" s="15">
        <f>IF(D19="","",IF(ROUND(D19,2)=ROUND(H19,2),"✅ 正確！","❌ 再想想"))</f>
        <v/>
      </c>
      <c r="F19" s="16" t="inlineStr">
        <is>
          <t>SUM 也可以橫向</t>
        </is>
      </c>
      <c r="H19" s="17">
        <f>SUM(B6:G6)</f>
        <v/>
      </c>
    </row>
    <row r="20" ht="30" customHeight="1">
      <c r="A20" s="21" t="n">
        <v>7</v>
      </c>
      <c r="B20" s="22" t="inlineStr">
        <is>
          <t>🟡</t>
        </is>
      </c>
      <c r="C20" s="23" t="inlineStr">
        <is>
          <t>計算 1 月業績中位數</t>
        </is>
      </c>
      <c r="D20" s="39" t="n"/>
      <c r="E20" s="15">
        <f>IF(D20="","",IF(ROUND(D20,2)=ROUND(H20,2),"✅ 正確！","❌ 再想想"))</f>
        <v/>
      </c>
      <c r="F20" s="16" t="inlineStr">
        <is>
          <t>MEDIAN(範圍)</t>
        </is>
      </c>
      <c r="H20" s="17">
        <f>MEDIAN(B6:B10)</f>
        <v/>
      </c>
    </row>
    <row r="21" ht="30" customHeight="1">
      <c r="A21" s="24" t="n">
        <v>8</v>
      </c>
      <c r="B21" s="25" t="inlineStr">
        <is>
          <t>🔴</t>
        </is>
      </c>
      <c r="C21" s="26" t="inlineStr">
        <is>
          <t>用 LARGE 找出 1 月第 2 高的業績</t>
        </is>
      </c>
      <c r="D21" s="39" t="n"/>
      <c r="E21" s="15">
        <f>IF(D21="","",IF(ROUND(D21,2)=ROUND(H21,2),"✅ 正確！","❌ 再想想"))</f>
        <v/>
      </c>
      <c r="F21" s="16" t="inlineStr">
        <is>
          <t>LARGE(範圍,第幾大)</t>
        </is>
      </c>
      <c r="H21" s="17">
        <f>LARGE(B6:B10,2)</f>
        <v/>
      </c>
    </row>
    <row r="23">
      <c r="C23" s="27" t="inlineStr">
        <is>
          <t>得分：</t>
        </is>
      </c>
      <c r="D23" s="28">
        <f>COUNTIF(E14:E21,"✅ 正確！") &amp; " / 8 正確"</f>
        <v/>
      </c>
      <c r="E23" s="5" t="n"/>
    </row>
  </sheetData>
  <mergeCells count="5">
    <mergeCell ref="A12:H12"/>
    <mergeCell ref="A2:H2"/>
    <mergeCell ref="D23:E23"/>
    <mergeCell ref="A4:G4"/>
    <mergeCell ref="A1:H1"/>
  </mergeCells>
  <conditionalFormatting sqref="D14">
    <cfRule type="expression" priority="1" dxfId="0">
      <formula>AND(D14&lt;&gt;"",ROUND(D14,2)=ROUND(H14,2))</formula>
    </cfRule>
    <cfRule type="expression" priority="2" dxfId="1">
      <formula>AND(D14&lt;&gt;"",ROUND(D14,2)&lt;&gt;ROUND(H14,2))</formula>
    </cfRule>
  </conditionalFormatting>
  <conditionalFormatting sqref="D15">
    <cfRule type="expression" priority="3" dxfId="0">
      <formula>AND(D15&lt;&gt;"",ROUND(D15,2)=ROUND(H15,2))</formula>
    </cfRule>
    <cfRule type="expression" priority="4" dxfId="1">
      <formula>AND(D15&lt;&gt;"",ROUND(D15,2)&lt;&gt;ROUND(H15,2))</formula>
    </cfRule>
  </conditionalFormatting>
  <conditionalFormatting sqref="D16">
    <cfRule type="expression" priority="5" dxfId="0">
      <formula>AND(D16&lt;&gt;"",ROUND(D16,2)=ROUND(H16,2))</formula>
    </cfRule>
    <cfRule type="expression" priority="6" dxfId="1">
      <formula>AND(D16&lt;&gt;"",ROUND(D16,2)&lt;&gt;ROUND(H16,2))</formula>
    </cfRule>
  </conditionalFormatting>
  <conditionalFormatting sqref="D17">
    <cfRule type="expression" priority="7" dxfId="0">
      <formula>AND(D17&lt;&gt;"",ROUND(D17,2)=ROUND(H17,2))</formula>
    </cfRule>
    <cfRule type="expression" priority="8" dxfId="1">
      <formula>AND(D17&lt;&gt;"",ROUND(D17,2)&lt;&gt;ROUND(H17,2))</formula>
    </cfRule>
  </conditionalFormatting>
  <conditionalFormatting sqref="D18">
    <cfRule type="expression" priority="9" dxfId="0">
      <formula>AND(D18&lt;&gt;"",ROUND(D18,2)=ROUND(H18,2))</formula>
    </cfRule>
    <cfRule type="expression" priority="10" dxfId="1">
      <formula>AND(D18&lt;&gt;"",ROUND(D18,2)&lt;&gt;ROUND(H18,2))</formula>
    </cfRule>
  </conditionalFormatting>
  <conditionalFormatting sqref="D19">
    <cfRule type="expression" priority="11" dxfId="0">
      <formula>AND(D19&lt;&gt;"",ROUND(D19,2)=ROUND(H19,2))</formula>
    </cfRule>
    <cfRule type="expression" priority="12" dxfId="1">
      <formula>AND(D19&lt;&gt;"",ROUND(D19,2)&lt;&gt;ROUND(H19,2))</formula>
    </cfRule>
  </conditionalFormatting>
  <conditionalFormatting sqref="D20">
    <cfRule type="expression" priority="13" dxfId="0">
      <formula>AND(D20&lt;&gt;"",ROUND(D20,2)=ROUND(H20,2))</formula>
    </cfRule>
    <cfRule type="expression" priority="14" dxfId="1">
      <formula>AND(D20&lt;&gt;"",ROUND(D20,2)&lt;&gt;ROUND(H20,2))</formula>
    </cfRule>
  </conditionalFormatting>
  <conditionalFormatting sqref="D21">
    <cfRule type="expression" priority="15" dxfId="0">
      <formula>AND(D21&lt;&gt;"",ROUND(D21,2)=ROUND(H21,2))</formula>
    </cfRule>
    <cfRule type="expression" priority="16" dxfId="1">
      <formula>AND(D21&lt;&gt;"",ROUND(D21,2)&lt;&gt;ROUND(H21,2))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2" customWidth="1" min="3" max="3"/>
    <col width="22" customWidth="1" min="4" max="4"/>
    <col width="12" customWidth="1" min="5" max="5"/>
    <col width="35" customWidth="1" min="6" max="6"/>
    <col width="5" customWidth="1" min="7" max="7"/>
    <col hidden="1" width="20" customWidth="1" min="8" max="8"/>
  </cols>
  <sheetData>
    <row r="1" ht="36" customHeight="1">
      <c r="A1" s="1" t="inlineStr">
        <is>
          <t>📐 條件判斷互動練習</t>
        </is>
      </c>
    </row>
    <row r="2">
      <c r="A2" s="2" t="inlineStr">
        <is>
          <t>在黃色格子輸入公式 → 答對自動變綠 ✅ 答錯變紅 ❌</t>
        </is>
      </c>
    </row>
    <row r="4">
      <c r="A4" s="3" t="inlineStr">
        <is>
          <t>【練習資料】</t>
        </is>
      </c>
      <c r="B4" s="4" t="n"/>
      <c r="C4" s="4" t="n"/>
      <c r="D4" s="4" t="n"/>
      <c r="E4" s="4" t="n"/>
      <c r="F4" s="5" t="n"/>
    </row>
    <row r="5">
      <c r="A5" s="6" t="inlineStr">
        <is>
          <t>姓名</t>
        </is>
      </c>
      <c r="B5" s="6" t="inlineStr">
        <is>
          <t>部門</t>
        </is>
      </c>
      <c r="C5" s="6" t="inlineStr">
        <is>
          <t>月薪</t>
        </is>
      </c>
      <c r="D5" s="6" t="inlineStr">
        <is>
          <t>績效分數</t>
        </is>
      </c>
      <c r="E5" s="6" t="inlineStr">
        <is>
          <t>出勤天數</t>
        </is>
      </c>
    </row>
    <row r="6">
      <c r="A6" s="29" t="inlineStr">
        <is>
          <t>王小明</t>
        </is>
      </c>
      <c r="B6" s="29" t="inlineStr">
        <is>
          <t>業務</t>
        </is>
      </c>
      <c r="C6" s="8" t="n">
        <v>55000</v>
      </c>
      <c r="D6" s="30" t="n">
        <v>88</v>
      </c>
      <c r="E6" s="30" t="n">
        <v>22</v>
      </c>
    </row>
    <row r="7">
      <c r="A7" s="29" t="inlineStr">
        <is>
          <t>林美華</t>
        </is>
      </c>
      <c r="B7" s="29" t="inlineStr">
        <is>
          <t>財務</t>
        </is>
      </c>
      <c r="C7" s="8" t="n">
        <v>48000</v>
      </c>
      <c r="D7" s="30" t="n">
        <v>72</v>
      </c>
      <c r="E7" s="30" t="n">
        <v>20</v>
      </c>
    </row>
    <row r="8">
      <c r="A8" s="29" t="inlineStr">
        <is>
          <t>張志偉</t>
        </is>
      </c>
      <c r="B8" s="29" t="inlineStr">
        <is>
          <t>業務</t>
        </is>
      </c>
      <c r="C8" s="8" t="n">
        <v>68000</v>
      </c>
      <c r="D8" s="30" t="n">
        <v>95</v>
      </c>
      <c r="E8" s="30" t="n">
        <v>23</v>
      </c>
    </row>
    <row r="9">
      <c r="A9" s="29" t="inlineStr">
        <is>
          <t>陳雅琪</t>
        </is>
      </c>
      <c r="B9" s="29" t="inlineStr">
        <is>
          <t>資訊</t>
        </is>
      </c>
      <c r="C9" s="8" t="n">
        <v>42000</v>
      </c>
      <c r="D9" s="30" t="n">
        <v>65</v>
      </c>
      <c r="E9" s="30" t="n">
        <v>18</v>
      </c>
    </row>
    <row r="10">
      <c r="A10" s="29" t="inlineStr">
        <is>
          <t>李大明</t>
        </is>
      </c>
      <c r="B10" s="29" t="inlineStr">
        <is>
          <t>業務</t>
        </is>
      </c>
      <c r="C10" s="8" t="n">
        <v>51000</v>
      </c>
      <c r="D10" s="30" t="n">
        <v>78</v>
      </c>
      <c r="E10" s="30" t="n">
        <v>21</v>
      </c>
    </row>
    <row r="12">
      <c r="A12" s="9" t="inlineStr">
        <is>
          <t>【互動練習】在 D 欄輸入公式（以第一筆資料 Row 6 為基準）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6" t="inlineStr">
        <is>
          <t>#</t>
        </is>
      </c>
      <c r="B13" s="6" t="inlineStr">
        <is>
          <t>難度</t>
        </is>
      </c>
      <c r="C13" s="6" t="inlineStr">
        <is>
          <t>任務描述</t>
        </is>
      </c>
      <c r="D13" s="6" t="inlineStr">
        <is>
          <t>你的答案 ▼</t>
        </is>
      </c>
      <c r="E13" s="6" t="inlineStr">
        <is>
          <t>結果</t>
        </is>
      </c>
      <c r="F13" s="6" t="inlineStr">
        <is>
          <t>提示（反白可見）</t>
        </is>
      </c>
    </row>
    <row r="14" ht="30" customHeight="1">
      <c r="A14" s="11" t="n">
        <v>1</v>
      </c>
      <c r="B14" s="12" t="inlineStr">
        <is>
          <t>🟢</t>
        </is>
      </c>
      <c r="C14" s="31" t="inlineStr">
        <is>
          <t>績效&gt;=80 → "優良"，否則 "待改善"</t>
        </is>
      </c>
      <c r="D14" s="40" t="n"/>
      <c r="E14" s="33">
        <f>IF(D14="","",IF(EXACT(D14,H14),"✅ 正確！","❌ 再想想"))</f>
        <v/>
      </c>
      <c r="F14" s="34" t="inlineStr">
        <is>
          <t>IF(條件,真,假)</t>
        </is>
      </c>
      <c r="H14" s="35">
        <f>IF(D6&gt;=80,"優良","待改善")</f>
        <v/>
      </c>
    </row>
    <row r="15" ht="30" customHeight="1">
      <c r="A15" s="11" t="n">
        <v>2</v>
      </c>
      <c r="B15" s="12" t="inlineStr">
        <is>
          <t>🟢</t>
        </is>
      </c>
      <c r="C15" s="31" t="inlineStr">
        <is>
          <t>月薪&gt;=60000 → "高薪"，否則 "一般"</t>
        </is>
      </c>
      <c r="D15" s="40" t="n"/>
      <c r="E15" s="33">
        <f>IF(D15="","",IF(EXACT(D15,H15),"✅ 正確！","❌ 再想想"))</f>
        <v/>
      </c>
      <c r="F15" s="34" t="inlineStr">
        <is>
          <t>把門檻改成 60000</t>
        </is>
      </c>
      <c r="H15" s="35">
        <f>IF(C6&gt;=60000,"高薪","一般")</f>
        <v/>
      </c>
    </row>
    <row r="16" ht="30" customHeight="1">
      <c r="A16" s="18" t="n">
        <v>3</v>
      </c>
      <c r="B16" s="19" t="inlineStr">
        <is>
          <t>🔵</t>
        </is>
      </c>
      <c r="C16" s="36" t="inlineStr">
        <is>
          <t>績效&gt;=90→"A"，&gt;=75→"B"，其他→"C"</t>
        </is>
      </c>
      <c r="D16" s="40" t="n"/>
      <c r="E16" s="33">
        <f>IF(D16="","",IF(EXACT(D16,H16),"✅ 正確！","❌ 再想想"))</f>
        <v/>
      </c>
      <c r="F16" s="34" t="inlineStr">
        <is>
          <t>IFS 依序判斷，TRUE=其他</t>
        </is>
      </c>
      <c r="H16" s="35">
        <f>IFS(D6&gt;=90,"A",D6&gt;=75,"B",TRUE,"C")</f>
        <v/>
      </c>
    </row>
    <row r="17" ht="30" customHeight="1">
      <c r="A17" s="18" t="n">
        <v>4</v>
      </c>
      <c r="B17" s="19" t="inlineStr">
        <is>
          <t>🔵</t>
        </is>
      </c>
      <c r="C17" s="36" t="inlineStr">
        <is>
          <t>同上用巢狀 IF</t>
        </is>
      </c>
      <c r="D17" s="40" t="n"/>
      <c r="E17" s="33">
        <f>IF(D17="","",IF(EXACT(D17,H17),"✅ 正確！","❌ 再想想"))</f>
        <v/>
      </c>
      <c r="F17" s="34" t="inlineStr">
        <is>
          <t>IF 裡面再放 IF</t>
        </is>
      </c>
      <c r="H17" s="35">
        <f>IF(D6&gt;=90,"A",IF(D6&gt;=75,"B","C"))</f>
        <v/>
      </c>
    </row>
    <row r="18" ht="30" customHeight="1">
      <c r="A18" s="21" t="n">
        <v>5</v>
      </c>
      <c r="B18" s="22" t="inlineStr">
        <is>
          <t>🟡</t>
        </is>
      </c>
      <c r="C18" s="37" t="inlineStr">
        <is>
          <t>出勤&gt;=22 且 績效&gt;=80 → "模範"</t>
        </is>
      </c>
      <c r="D18" s="40" t="n"/>
      <c r="E18" s="33">
        <f>IF(D18="","",IF(EXACT(D18,H18),"✅ 正確！","❌ 再想想"))</f>
        <v/>
      </c>
      <c r="F18" s="34" t="inlineStr">
        <is>
          <t>AND(條件1,條件2)</t>
        </is>
      </c>
      <c r="H18" s="35">
        <f>IF(AND(E6&gt;=22,D6&gt;=80),"模範","一般")</f>
        <v/>
      </c>
    </row>
    <row r="19" ht="30" customHeight="1">
      <c r="A19" s="21" t="n">
        <v>6</v>
      </c>
      <c r="B19" s="22" t="inlineStr">
        <is>
          <t>🟡</t>
        </is>
      </c>
      <c r="C19" s="37" t="inlineStr">
        <is>
          <t>部門是業務 或 績效&gt;=90 → "重點關注"</t>
        </is>
      </c>
      <c r="D19" s="40" t="n"/>
      <c r="E19" s="33">
        <f>IF(D19="","",IF(EXACT(D19,H19),"✅ 正確！","❌ 再想想"))</f>
        <v/>
      </c>
      <c r="F19" s="34" t="inlineStr">
        <is>
          <t>OR(條件1,條件2)</t>
        </is>
      </c>
      <c r="H19" s="35">
        <f>IF(OR(B6="業務",D6&gt;=90),"重點關注","一般")</f>
        <v/>
      </c>
    </row>
    <row r="20" ht="30" customHeight="1">
      <c r="A20" s="24" t="n">
        <v>7</v>
      </c>
      <c r="B20" s="25" t="inlineStr">
        <is>
          <t>🔴</t>
        </is>
      </c>
      <c r="C20" s="38" t="inlineStr">
        <is>
          <t>績效&gt;=90 獎金=月薪×3，&gt;=75=×2，其他=×1</t>
        </is>
      </c>
      <c r="D20" s="40" t="n"/>
      <c r="E20" s="33">
        <f>IF(D20="","",IF(EXACT(D20,H20),"✅ 正確！","❌ 再想想"))</f>
        <v/>
      </c>
      <c r="F20" s="34" t="inlineStr">
        <is>
          <t>IFS + 數學運算</t>
        </is>
      </c>
      <c r="H20" s="35">
        <f>IFS(D6&gt;=90,C6*3,D6&gt;=75,C6*2,TRUE,C6*1)</f>
        <v/>
      </c>
    </row>
    <row r="21" ht="30" customHeight="1">
      <c r="A21" s="24" t="n">
        <v>8</v>
      </c>
      <c r="B21" s="25" t="inlineStr">
        <is>
          <t>🔴</t>
        </is>
      </c>
      <c r="C21" s="38" t="inlineStr">
        <is>
          <t>績效是偶數→"偶數"，否則→"奇數"</t>
        </is>
      </c>
      <c r="D21" s="40" t="n"/>
      <c r="E21" s="33">
        <f>IF(D21="","",IF(EXACT(D21,H21),"✅ 正確！","❌ 再想想"))</f>
        <v/>
      </c>
      <c r="F21" s="34" t="inlineStr">
        <is>
          <t>MOD(數字,2) 餘數</t>
        </is>
      </c>
      <c r="H21" s="35">
        <f>IF(MOD(D6,2)=0,"偶數","奇數")</f>
        <v/>
      </c>
    </row>
    <row r="23">
      <c r="C23" s="27" t="inlineStr">
        <is>
          <t>得分：</t>
        </is>
      </c>
      <c r="D23" s="28">
        <f>COUNTIF(E14:E21,"✅ 正確！") &amp; " / 8 正確"</f>
        <v/>
      </c>
      <c r="E23" s="5" t="n"/>
    </row>
  </sheetData>
  <mergeCells count="5">
    <mergeCell ref="A12:H12"/>
    <mergeCell ref="A2:H2"/>
    <mergeCell ref="D23:E23"/>
    <mergeCell ref="A4:F4"/>
    <mergeCell ref="A1:H1"/>
  </mergeCells>
  <conditionalFormatting sqref="D14">
    <cfRule type="expression" priority="1" dxfId="0">
      <formula>AND(D14&lt;&gt;"",EXACT(D14,H14))</formula>
    </cfRule>
    <cfRule type="expression" priority="2" dxfId="1">
      <formula>AND(D14&lt;&gt;"",NOT(EXACT(D14,H14)))</formula>
    </cfRule>
  </conditionalFormatting>
  <conditionalFormatting sqref="D15">
    <cfRule type="expression" priority="3" dxfId="0">
      <formula>AND(D15&lt;&gt;"",EXACT(D15,H15))</formula>
    </cfRule>
    <cfRule type="expression" priority="4" dxfId="1">
      <formula>AND(D15&lt;&gt;"",NOT(EXACT(D15,H15)))</formula>
    </cfRule>
  </conditionalFormatting>
  <conditionalFormatting sqref="D16">
    <cfRule type="expression" priority="5" dxfId="0">
      <formula>AND(D16&lt;&gt;"",EXACT(D16,H16))</formula>
    </cfRule>
    <cfRule type="expression" priority="6" dxfId="1">
      <formula>AND(D16&lt;&gt;"",NOT(EXACT(D16,H16)))</formula>
    </cfRule>
  </conditionalFormatting>
  <conditionalFormatting sqref="D17">
    <cfRule type="expression" priority="7" dxfId="0">
      <formula>AND(D17&lt;&gt;"",EXACT(D17,H17))</formula>
    </cfRule>
    <cfRule type="expression" priority="8" dxfId="1">
      <formula>AND(D17&lt;&gt;"",NOT(EXACT(D17,H17)))</formula>
    </cfRule>
  </conditionalFormatting>
  <conditionalFormatting sqref="D18">
    <cfRule type="expression" priority="9" dxfId="0">
      <formula>AND(D18&lt;&gt;"",EXACT(D18,H18))</formula>
    </cfRule>
    <cfRule type="expression" priority="10" dxfId="1">
      <formula>AND(D18&lt;&gt;"",NOT(EXACT(D18,H18)))</formula>
    </cfRule>
  </conditionalFormatting>
  <conditionalFormatting sqref="D19">
    <cfRule type="expression" priority="11" dxfId="0">
      <formula>AND(D19&lt;&gt;"",EXACT(D19,H19))</formula>
    </cfRule>
    <cfRule type="expression" priority="12" dxfId="1">
      <formula>AND(D19&lt;&gt;"",NOT(EXACT(D19,H19)))</formula>
    </cfRule>
  </conditionalFormatting>
  <conditionalFormatting sqref="D20">
    <cfRule type="expression" priority="13" dxfId="0">
      <formula>AND(D20&lt;&gt;"",EXACT(D20,H20))</formula>
    </cfRule>
    <cfRule type="expression" priority="14" dxfId="1">
      <formula>AND(D20&lt;&gt;"",NOT(EXACT(D20,H20)))</formula>
    </cfRule>
  </conditionalFormatting>
  <conditionalFormatting sqref="D21">
    <cfRule type="expression" priority="15" dxfId="0">
      <formula>AND(D21&lt;&gt;"",EXACT(D21,H21))</formula>
    </cfRule>
    <cfRule type="expression" priority="16" dxfId="1">
      <formula>AND(D21&lt;&gt;"",NOT(EXACT(D21,H21)))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22" customWidth="1" min="4" max="4"/>
    <col width="12" customWidth="1" min="5" max="5"/>
    <col width="35" customWidth="1" min="6" max="6"/>
    <col width="5" customWidth="1" min="7" max="7"/>
    <col hidden="1" width="25" customWidth="1" min="8" max="8"/>
  </cols>
  <sheetData>
    <row r="1" ht="36" customHeight="1">
      <c r="A1" s="1" t="inlineStr">
        <is>
          <t>🔍 查找比對互動練習</t>
        </is>
      </c>
    </row>
    <row r="2">
      <c r="A2" s="2" t="inlineStr">
        <is>
          <t>在黃色格子輸入公式 → 答對自動變綠 ✅ 答錯變紅 ❌</t>
        </is>
      </c>
    </row>
    <row r="4">
      <c r="A4" s="3" t="inlineStr">
        <is>
          <t>【產品資料表】</t>
        </is>
      </c>
      <c r="B4" s="4" t="n"/>
      <c r="C4" s="4" t="n"/>
      <c r="D4" s="4" t="n"/>
      <c r="E4" s="5" t="n"/>
    </row>
    <row r="5">
      <c r="A5" s="6" t="inlineStr">
        <is>
          <t>產品代碼</t>
        </is>
      </c>
      <c r="B5" s="6" t="inlineStr">
        <is>
          <t>產品名稱</t>
        </is>
      </c>
      <c r="C5" s="6" t="inlineStr">
        <is>
          <t>類別</t>
        </is>
      </c>
      <c r="D5" s="6" t="inlineStr">
        <is>
          <t>單價</t>
        </is>
      </c>
      <c r="E5" s="6" t="inlineStr">
        <is>
          <t>庫存</t>
        </is>
      </c>
    </row>
    <row r="6">
      <c r="A6" s="29" t="inlineStr">
        <is>
          <t>P001</t>
        </is>
      </c>
      <c r="B6" s="29" t="inlineStr">
        <is>
          <t>無線滑鼠</t>
        </is>
      </c>
      <c r="C6" s="29" t="inlineStr">
        <is>
          <t>周邊</t>
        </is>
      </c>
      <c r="D6" s="8" t="n">
        <v>590</v>
      </c>
      <c r="E6" s="8" t="n">
        <v>120</v>
      </c>
    </row>
    <row r="7">
      <c r="A7" s="29" t="inlineStr">
        <is>
          <t>P002</t>
        </is>
      </c>
      <c r="B7" s="29" t="inlineStr">
        <is>
          <t>機械鍵盤</t>
        </is>
      </c>
      <c r="C7" s="29" t="inlineStr">
        <is>
          <t>周邊</t>
        </is>
      </c>
      <c r="D7" s="8" t="n">
        <v>2200</v>
      </c>
      <c r="E7" s="30" t="n">
        <v>45</v>
      </c>
    </row>
    <row r="8">
      <c r="A8" s="29" t="inlineStr">
        <is>
          <t>P003</t>
        </is>
      </c>
      <c r="B8" s="29" t="inlineStr">
        <is>
          <t>27吋螢幕</t>
        </is>
      </c>
      <c r="C8" s="29" t="inlineStr">
        <is>
          <t>顯示</t>
        </is>
      </c>
      <c r="D8" s="8" t="n">
        <v>8900</v>
      </c>
      <c r="E8" s="30" t="n">
        <v>18</v>
      </c>
    </row>
    <row r="9">
      <c r="A9" s="29" t="inlineStr">
        <is>
          <t>P004</t>
        </is>
      </c>
      <c r="B9" s="29" t="inlineStr">
        <is>
          <t>網路攝影機</t>
        </is>
      </c>
      <c r="C9" s="29" t="inlineStr">
        <is>
          <t>周邊</t>
        </is>
      </c>
      <c r="D9" s="8" t="n">
        <v>1500</v>
      </c>
      <c r="E9" s="30" t="n">
        <v>67</v>
      </c>
    </row>
    <row r="10">
      <c r="A10" s="29" t="inlineStr">
        <is>
          <t>P005</t>
        </is>
      </c>
      <c r="B10" s="29" t="inlineStr">
        <is>
          <t>USB集線器</t>
        </is>
      </c>
      <c r="C10" s="29" t="inlineStr">
        <is>
          <t>配件</t>
        </is>
      </c>
      <c r="D10" s="8" t="n">
        <v>450</v>
      </c>
      <c r="E10" s="8" t="n">
        <v>200</v>
      </c>
    </row>
    <row r="11">
      <c r="A11" s="29" t="inlineStr">
        <is>
          <t>P006</t>
        </is>
      </c>
      <c r="B11" s="29" t="inlineStr">
        <is>
          <t>外接硬碟</t>
        </is>
      </c>
      <c r="C11" s="29" t="inlineStr">
        <is>
          <t>儲存</t>
        </is>
      </c>
      <c r="D11" s="8" t="n">
        <v>2800</v>
      </c>
      <c r="E11" s="30" t="n">
        <v>32</v>
      </c>
    </row>
    <row r="13">
      <c r="A13" s="9" t="inlineStr">
        <is>
          <t>【互動練習】</t>
        </is>
      </c>
      <c r="B13" s="4" t="n"/>
      <c r="C13" s="4" t="n"/>
      <c r="D13" s="4" t="n"/>
      <c r="E13" s="4" t="n"/>
      <c r="F13" s="4" t="n"/>
      <c r="G13" s="4" t="n"/>
      <c r="H13" s="5" t="n"/>
    </row>
    <row r="14">
      <c r="A14" s="6" t="inlineStr">
        <is>
          <t>#</t>
        </is>
      </c>
      <c r="B14" s="6" t="inlineStr">
        <is>
          <t>難度</t>
        </is>
      </c>
      <c r="C14" s="6" t="inlineStr">
        <is>
          <t>任務描述</t>
        </is>
      </c>
      <c r="D14" s="6" t="inlineStr">
        <is>
          <t>你的答案 ▼</t>
        </is>
      </c>
      <c r="E14" s="6" t="inlineStr">
        <is>
          <t>結果</t>
        </is>
      </c>
      <c r="F14" s="6" t="inlineStr">
        <is>
          <t>提示（反白可見）</t>
        </is>
      </c>
    </row>
    <row r="15" ht="30" customHeight="1">
      <c r="A15" s="11" t="n">
        <v>1</v>
      </c>
      <c r="B15" s="12" t="inlineStr">
        <is>
          <t>🟢</t>
        </is>
      </c>
      <c r="C15" s="31" t="inlineStr">
        <is>
          <t>VLOOKUP 查 P003 的產品名稱</t>
        </is>
      </c>
      <c r="D15" s="40" t="n"/>
      <c r="E15" s="33">
        <f>IF(D15="","",IF(D15=H15,"✅ 正確！","❌ 再想想"))</f>
        <v/>
      </c>
      <c r="F15" s="34" t="inlineStr">
        <is>
          <t>VLOOKUP(查找值,表格,第幾欄,0)</t>
        </is>
      </c>
      <c r="H15" s="35">
        <f>VLOOKUP("P003",A6:E11,2,0)</f>
        <v/>
      </c>
    </row>
    <row r="16" ht="30" customHeight="1">
      <c r="A16" s="11" t="n">
        <v>2</v>
      </c>
      <c r="B16" s="12" t="inlineStr">
        <is>
          <t>🟢</t>
        </is>
      </c>
      <c r="C16" s="31" t="inlineStr">
        <is>
          <t>VLOOKUP 查 P005 的單價</t>
        </is>
      </c>
      <c r="D16" s="40" t="n"/>
      <c r="E16" s="33">
        <f>IF(D16="","",IF(D16=H16,"✅ 正確！","❌ 再想想"))</f>
        <v/>
      </c>
      <c r="F16" s="34" t="inlineStr">
        <is>
          <t>第 4 欄=單價</t>
        </is>
      </c>
      <c r="H16" s="35">
        <f>VLOOKUP("P005",A6:E11,4,0)</f>
        <v/>
      </c>
    </row>
    <row r="17" ht="30" customHeight="1">
      <c r="A17" s="18" t="n">
        <v>3</v>
      </c>
      <c r="B17" s="19" t="inlineStr">
        <is>
          <t>🔵</t>
        </is>
      </c>
      <c r="C17" s="36" t="inlineStr">
        <is>
          <t>INDEX+MATCH 查 P003 名稱</t>
        </is>
      </c>
      <c r="D17" s="40" t="n"/>
      <c r="E17" s="33">
        <f>IF(D17="","",IF(D17=H17,"✅ 正確！","❌ 再想想"))</f>
        <v/>
      </c>
      <c r="F17" s="34" t="inlineStr">
        <is>
          <t>MATCH 找位置，INDEX 取值</t>
        </is>
      </c>
      <c r="H17" s="35">
        <f>INDEX(B6:B11,MATCH("P003",A6:A11,0))</f>
        <v/>
      </c>
    </row>
    <row r="18" ht="30" customHeight="1">
      <c r="A18" s="18" t="n">
        <v>4</v>
      </c>
      <c r="B18" s="19" t="inlineStr">
        <is>
          <t>🔵</t>
        </is>
      </c>
      <c r="C18" s="36" t="inlineStr">
        <is>
          <t>XLOOKUP 查 P003 名稱（365 版）</t>
        </is>
      </c>
      <c r="D18" s="40" t="n"/>
      <c r="E18" s="33">
        <f>IF(D18="","",IF(D18=H18,"✅ 正確！","❌ 再想想"))</f>
        <v/>
      </c>
      <c r="F18" s="34" t="inlineStr">
        <is>
          <t>XLOOKUP(查,查找欄,回傳欄)</t>
        </is>
      </c>
      <c r="H18" s="35">
        <f>XLOOKUP("P003",A6:A11,B6:B11)</f>
        <v/>
      </c>
    </row>
    <row r="19" ht="30" customHeight="1">
      <c r="A19" s="21" t="n">
        <v>5</v>
      </c>
      <c r="B19" s="22" t="inlineStr">
        <is>
          <t>🟡</t>
        </is>
      </c>
      <c r="C19" s="37" t="inlineStr">
        <is>
          <t>反向查找：已知「機械鍵盤」查代碼</t>
        </is>
      </c>
      <c r="D19" s="40" t="n"/>
      <c r="E19" s="33">
        <f>IF(D19="","",IF(D19=H19,"✅ 正確！","❌ 再想想"))</f>
        <v/>
      </c>
      <c r="F19" s="34" t="inlineStr">
        <is>
          <t>INDEX+MATCH 可以往左查</t>
        </is>
      </c>
      <c r="H19" s="35">
        <f>INDEX(A6:A11,MATCH("機械鍵盤",B6:B11,0))</f>
        <v/>
      </c>
    </row>
    <row r="20" ht="30" customHeight="1">
      <c r="A20" s="21" t="n">
        <v>6</v>
      </c>
      <c r="B20" s="22" t="inlineStr">
        <is>
          <t>🟡</t>
        </is>
      </c>
      <c r="C20" s="37" t="inlineStr">
        <is>
          <t>查不到 P999 時顯示「無此商品」</t>
        </is>
      </c>
      <c r="D20" s="40" t="n"/>
      <c r="E20" s="33">
        <f>IF(D20="","",IF(D20=H20,"✅ 正確！","❌ 再想想"))</f>
        <v/>
      </c>
      <c r="F20" s="34" t="inlineStr">
        <is>
          <t>IFERROR 包住公式</t>
        </is>
      </c>
      <c r="H20" s="35">
        <f>IFERROR(VLOOKUP("P999",A6:E11,2,0),"無此商品")</f>
        <v/>
      </c>
    </row>
    <row r="21" ht="30" customHeight="1">
      <c r="A21" s="24" t="n">
        <v>7</v>
      </c>
      <c r="B21" s="25" t="inlineStr">
        <is>
          <t>🔴</t>
        </is>
      </c>
      <c r="C21" s="38" t="inlineStr">
        <is>
          <t>MATCH：「27吋螢幕」在第幾列</t>
        </is>
      </c>
      <c r="D21" s="40" t="n"/>
      <c r="E21" s="33">
        <f>IF(D21="","",IF(D21=H21,"✅ 正確！","❌ 再想想"))</f>
        <v/>
      </c>
      <c r="F21" s="34" t="inlineStr">
        <is>
          <t>MATCH 回傳相對位置</t>
        </is>
      </c>
      <c r="H21" s="35">
        <f>MATCH("27吋螢幕",B6:B11,0)</f>
        <v/>
      </c>
    </row>
    <row r="22" ht="30" customHeight="1">
      <c r="A22" s="24" t="n">
        <v>8</v>
      </c>
      <c r="B22" s="25" t="inlineStr">
        <is>
          <t>🔴</t>
        </is>
      </c>
      <c r="C22" s="38" t="inlineStr">
        <is>
          <t>XLOOKUP 查 P001，找不到回傳「N/A」</t>
        </is>
      </c>
      <c r="D22" s="40" t="n"/>
      <c r="E22" s="33">
        <f>IF(D22="","",IF(D22=H22,"✅ 正確！","❌ 再想想"))</f>
        <v/>
      </c>
      <c r="F22" s="34" t="inlineStr">
        <is>
          <t>XLOOKUP 第 4 參數=找不到時</t>
        </is>
      </c>
      <c r="H22" s="35">
        <f>XLOOKUP("P001",A6:A11,B6:B11,"N/A")</f>
        <v/>
      </c>
    </row>
    <row r="24">
      <c r="C24" s="27" t="inlineStr">
        <is>
          <t>得分：</t>
        </is>
      </c>
      <c r="D24" s="28">
        <f>COUNTIF(E15:E22,"✅ 正確！") &amp; " / 8 正確"</f>
        <v/>
      </c>
      <c r="E24" s="5" t="n"/>
    </row>
  </sheetData>
  <mergeCells count="5">
    <mergeCell ref="A4:E4"/>
    <mergeCell ref="D24:E24"/>
    <mergeCell ref="A2:H2"/>
    <mergeCell ref="A13:H13"/>
    <mergeCell ref="A1:H1"/>
  </mergeCells>
  <conditionalFormatting sqref="D15">
    <cfRule type="expression" priority="1" dxfId="0">
      <formula>AND(D15&lt;&gt;"",D15=H15)</formula>
    </cfRule>
    <cfRule type="expression" priority="2" dxfId="1">
      <formula>AND(D15&lt;&gt;"",D15&lt;&gt;H15)</formula>
    </cfRule>
  </conditionalFormatting>
  <conditionalFormatting sqref="D16">
    <cfRule type="expression" priority="3" dxfId="0">
      <formula>AND(D16&lt;&gt;"",D16=H16)</formula>
    </cfRule>
    <cfRule type="expression" priority="4" dxfId="1">
      <formula>AND(D16&lt;&gt;"",D16&lt;&gt;H16)</formula>
    </cfRule>
  </conditionalFormatting>
  <conditionalFormatting sqref="D17">
    <cfRule type="expression" priority="5" dxfId="0">
      <formula>AND(D17&lt;&gt;"",D17=H17)</formula>
    </cfRule>
    <cfRule type="expression" priority="6" dxfId="1">
      <formula>AND(D17&lt;&gt;"",D17&lt;&gt;H17)</formula>
    </cfRule>
  </conditionalFormatting>
  <conditionalFormatting sqref="D18">
    <cfRule type="expression" priority="7" dxfId="0">
      <formula>AND(D18&lt;&gt;"",D18=H18)</formula>
    </cfRule>
    <cfRule type="expression" priority="8" dxfId="1">
      <formula>AND(D18&lt;&gt;"",D18&lt;&gt;H18)</formula>
    </cfRule>
  </conditionalFormatting>
  <conditionalFormatting sqref="D19">
    <cfRule type="expression" priority="9" dxfId="0">
      <formula>AND(D19&lt;&gt;"",D19=H19)</formula>
    </cfRule>
    <cfRule type="expression" priority="10" dxfId="1">
      <formula>AND(D19&lt;&gt;"",D19&lt;&gt;H19)</formula>
    </cfRule>
  </conditionalFormatting>
  <conditionalFormatting sqref="D20">
    <cfRule type="expression" priority="11" dxfId="0">
      <formula>AND(D20&lt;&gt;"",D20=H20)</formula>
    </cfRule>
    <cfRule type="expression" priority="12" dxfId="1">
      <formula>AND(D20&lt;&gt;"",D20&lt;&gt;H20)</formula>
    </cfRule>
  </conditionalFormatting>
  <conditionalFormatting sqref="D21">
    <cfRule type="expression" priority="13" dxfId="0">
      <formula>AND(D21&lt;&gt;"",D21=H21)</formula>
    </cfRule>
    <cfRule type="expression" priority="14" dxfId="1">
      <formula>AND(D21&lt;&gt;"",D21&lt;&gt;H21)</formula>
    </cfRule>
  </conditionalFormatting>
  <conditionalFormatting sqref="D22">
    <cfRule type="expression" priority="15" dxfId="0">
      <formula>AND(D22&lt;&gt;"",D22=H22)</formula>
    </cfRule>
    <cfRule type="expression" priority="16" dxfId="1">
      <formula>AND(D22&lt;&gt;"",D22&lt;&gt;H22)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35" customWidth="1" min="4" max="4"/>
    <col width="14" customWidth="1" min="5" max="5"/>
    <col width="30" customWidth="1" min="6" max="6"/>
    <col hidden="1" width="13" customWidth="1" min="8" max="8"/>
  </cols>
  <sheetData>
    <row r="1">
      <c r="A1" s="41" t="inlineStr">
        <is>
          <t>📈 條件統計 — COUNTIF / SUMIF / AVERAGEIF</t>
        </is>
      </c>
      <c r="B1" s="42" t="n"/>
      <c r="C1" s="42" t="n"/>
      <c r="D1" s="42" t="n"/>
      <c r="E1" s="42" t="n"/>
      <c r="F1" s="42" t="n"/>
      <c r="G1" s="42" t="n"/>
      <c r="H1" s="42" t="n"/>
    </row>
    <row r="2">
      <c r="A2" s="43" t="inlineStr">
        <is>
          <t>在黃色邊框儲存格輸入公式 → 答對變綠 ✅ | 答錯變紅 ❌ | F欄提示選取可見</t>
        </is>
      </c>
      <c r="B2" s="42" t="n"/>
      <c r="C2" s="42" t="n"/>
      <c r="D2" s="42" t="n"/>
      <c r="E2" s="42" t="n"/>
      <c r="F2" s="42" t="n"/>
      <c r="G2" s="42" t="n"/>
      <c r="H2" s="42" t="n"/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>
      <c r="A4" s="44" t="inlineStr">
        <is>
          <t>📋 練習資料</t>
        </is>
      </c>
      <c r="B4" s="42" t="n"/>
      <c r="C4" s="42" t="n"/>
      <c r="D4" s="42" t="n"/>
      <c r="E4" s="42" t="n"/>
      <c r="F4" s="42" t="n"/>
      <c r="G4" s="42" t="n"/>
      <c r="H4" s="42" t="n"/>
    </row>
    <row r="5">
      <c r="A5" s="45" t="inlineStr">
        <is>
          <t>員工</t>
        </is>
      </c>
      <c r="B5" s="45" t="inlineStr">
        <is>
          <t>部門</t>
        </is>
      </c>
      <c r="C5" s="45" t="inlineStr">
        <is>
          <t>月薪</t>
        </is>
      </c>
      <c r="D5" s="45" t="inlineStr">
        <is>
          <t>績效分數</t>
        </is>
      </c>
      <c r="E5" s="45" t="inlineStr">
        <is>
          <t>年資</t>
        </is>
      </c>
      <c r="F5" s="42" t="n"/>
      <c r="G5" s="42" t="n"/>
      <c r="H5" s="42" t="n"/>
    </row>
    <row r="6">
      <c r="A6" s="46" t="inlineStr">
        <is>
          <t>王小明</t>
        </is>
      </c>
      <c r="B6" s="46" t="inlineStr">
        <is>
          <t>業務</t>
        </is>
      </c>
      <c r="C6" s="46" t="n">
        <v>55000</v>
      </c>
      <c r="D6" s="46" t="n">
        <v>88</v>
      </c>
      <c r="E6" s="46" t="n">
        <v>3</v>
      </c>
      <c r="F6" s="42" t="n"/>
      <c r="G6" s="42" t="n"/>
      <c r="H6" s="42" t="n"/>
    </row>
    <row r="7">
      <c r="A7" s="46" t="inlineStr">
        <is>
          <t>林美華</t>
        </is>
      </c>
      <c r="B7" s="46" t="inlineStr">
        <is>
          <t>財務</t>
        </is>
      </c>
      <c r="C7" s="46" t="n">
        <v>48000</v>
      </c>
      <c r="D7" s="46" t="n">
        <v>72</v>
      </c>
      <c r="E7" s="46" t="n">
        <v>5</v>
      </c>
      <c r="F7" s="42" t="n"/>
      <c r="G7" s="42" t="n"/>
      <c r="H7" s="42" t="n"/>
    </row>
    <row r="8">
      <c r="A8" s="46" t="inlineStr">
        <is>
          <t>張志偉</t>
        </is>
      </c>
      <c r="B8" s="46" t="inlineStr">
        <is>
          <t>業務</t>
        </is>
      </c>
      <c r="C8" s="46" t="n">
        <v>68000</v>
      </c>
      <c r="D8" s="46" t="n">
        <v>95</v>
      </c>
      <c r="E8" s="46" t="n">
        <v>7</v>
      </c>
      <c r="F8" s="42" t="n"/>
      <c r="G8" s="42" t="n"/>
      <c r="H8" s="42" t="n"/>
    </row>
    <row r="9">
      <c r="A9" s="46" t="inlineStr">
        <is>
          <t>陳雅琪</t>
        </is>
      </c>
      <c r="B9" s="46" t="inlineStr">
        <is>
          <t>資訊</t>
        </is>
      </c>
      <c r="C9" s="46" t="n">
        <v>42000</v>
      </c>
      <c r="D9" s="46" t="n">
        <v>65</v>
      </c>
      <c r="E9" s="46" t="n">
        <v>2</v>
      </c>
      <c r="F9" s="42" t="n"/>
      <c r="G9" s="42" t="n"/>
      <c r="H9" s="42" t="n"/>
    </row>
    <row r="10">
      <c r="A10" s="46" t="inlineStr">
        <is>
          <t>李大明</t>
        </is>
      </c>
      <c r="B10" s="46" t="inlineStr">
        <is>
          <t>業務</t>
        </is>
      </c>
      <c r="C10" s="46" t="n">
        <v>51000</v>
      </c>
      <c r="D10" s="46" t="n">
        <v>78</v>
      </c>
      <c r="E10" s="46" t="n">
        <v>4</v>
      </c>
      <c r="F10" s="42" t="n"/>
      <c r="G10" s="42" t="n"/>
      <c r="H10" s="42" t="n"/>
    </row>
    <row r="11">
      <c r="A11" s="46" t="inlineStr">
        <is>
          <t>吳建志</t>
        </is>
      </c>
      <c r="B11" s="46" t="inlineStr">
        <is>
          <t>財務</t>
        </is>
      </c>
      <c r="C11" s="46" t="n">
        <v>52000</v>
      </c>
      <c r="D11" s="46" t="n">
        <v>83</v>
      </c>
      <c r="E11" s="46" t="n">
        <v>6</v>
      </c>
      <c r="F11" s="42" t="n"/>
      <c r="G11" s="42" t="n"/>
      <c r="H11" s="42" t="n"/>
    </row>
    <row r="12">
      <c r="A12" s="46" t="inlineStr">
        <is>
          <t>黃淑芬</t>
        </is>
      </c>
      <c r="B12" s="46" t="inlineStr">
        <is>
          <t>資訊</t>
        </is>
      </c>
      <c r="C12" s="46" t="n">
        <v>47000</v>
      </c>
      <c r="D12" s="46" t="n">
        <v>70</v>
      </c>
      <c r="E12" s="46" t="n">
        <v>3</v>
      </c>
      <c r="F12" s="42" t="n"/>
      <c r="G12" s="42" t="n"/>
      <c r="H12" s="42" t="n"/>
    </row>
    <row r="13">
      <c r="A13" s="46" t="inlineStr">
        <is>
          <t>趙國強</t>
        </is>
      </c>
      <c r="B13" s="46" t="inlineStr">
        <is>
          <t>業務</t>
        </is>
      </c>
      <c r="C13" s="46" t="n">
        <v>63000</v>
      </c>
      <c r="D13" s="46" t="n">
        <v>91</v>
      </c>
      <c r="E13" s="46" t="n">
        <v>8</v>
      </c>
      <c r="F13" s="42" t="n"/>
      <c r="G13" s="42" t="n"/>
      <c r="H13" s="42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</row>
    <row r="16">
      <c r="A16" s="44" t="inlineStr">
        <is>
          <t>🎯 練習題</t>
        </is>
      </c>
      <c r="B16" s="42" t="n"/>
      <c r="C16" s="42" t="n"/>
      <c r="D16" s="42" t="n"/>
      <c r="E16" s="42" t="n"/>
      <c r="F16" s="42" t="n"/>
      <c r="G16" s="42" t="n"/>
      <c r="H16" s="42" t="n"/>
    </row>
    <row r="17">
      <c r="A17" s="47" t="inlineStr">
        <is>
          <t>難度</t>
        </is>
      </c>
      <c r="B17" s="47" t="inlineStr">
        <is>
          <t>題號</t>
        </is>
      </c>
      <c r="C17" s="47" t="inlineStr">
        <is>
          <t>任務描述</t>
        </is>
      </c>
      <c r="D17" s="47" t="inlineStr">
        <is>
          <t>你的答案 ▼</t>
        </is>
      </c>
      <c r="E17" s="47" t="inlineStr">
        <is>
          <t>結果</t>
        </is>
      </c>
      <c r="F17" s="47" t="inlineStr">
        <is>
          <t>提示（反白可見）</t>
        </is>
      </c>
      <c r="G17" s="42" t="n"/>
      <c r="H17" s="42" t="n"/>
    </row>
    <row r="18">
      <c r="A18" s="48" t="inlineStr">
        <is>
          <t>🟢</t>
        </is>
      </c>
      <c r="B18" s="46" t="n">
        <v>1</v>
      </c>
      <c r="C18" s="46" t="inlineStr">
        <is>
          <t>計算業務部有幾個人</t>
        </is>
      </c>
      <c r="D18" s="49" t="n"/>
      <c r="E18" s="46">
        <f>IF(D18="","",IF(ROUND(D18,2)=ROUND(H18,2),"✅ 正確！","❌ 再想想"))</f>
        <v/>
      </c>
      <c r="F18" s="50" t="inlineStr">
        <is>
          <t>COUNTIF(範圍,"業務")</t>
        </is>
      </c>
      <c r="G18" s="42" t="n"/>
      <c r="H18" s="35">
        <f>COUNTIF(B6:B13,"業務")</f>
        <v/>
      </c>
    </row>
    <row r="19">
      <c r="A19" s="48" t="inlineStr">
        <is>
          <t>🟢</t>
        </is>
      </c>
      <c r="B19" s="46" t="n">
        <v>2</v>
      </c>
      <c r="C19" s="46" t="inlineStr">
        <is>
          <t>計算月薪超過 50000 的人數</t>
        </is>
      </c>
      <c r="D19" s="49" t="n"/>
      <c r="E19" s="46">
        <f>IF(D19="","",IF(ROUND(D19,2)=ROUND(H19,2),"✅ 正確！","❌ 再想想"))</f>
        <v/>
      </c>
      <c r="F19" s="50" t="inlineStr">
        <is>
          <t>COUNTIF(範圍,"&gt;50000")</t>
        </is>
      </c>
      <c r="G19" s="42" t="n"/>
      <c r="H19" s="35">
        <f>COUNTIF(C6:C13,"&gt;"&amp;50000)</f>
        <v/>
      </c>
    </row>
    <row r="20">
      <c r="A20" s="51" t="inlineStr">
        <is>
          <t>🔵</t>
        </is>
      </c>
      <c r="B20" s="46" t="n">
        <v>3</v>
      </c>
      <c r="C20" s="46" t="inlineStr">
        <is>
          <t>計算業務部的薪資總和</t>
        </is>
      </c>
      <c r="D20" s="49" t="n"/>
      <c r="E20" s="46">
        <f>IF(D20="","",IF(ROUND(D20,2)=ROUND(H20,2),"✅ 正確！","❌ 再想想"))</f>
        <v/>
      </c>
      <c r="F20" s="50" t="inlineStr">
        <is>
          <t>SUMIF(條件範圍,"條件",加總範圍)</t>
        </is>
      </c>
      <c r="G20" s="42" t="n"/>
      <c r="H20" s="35">
        <f>SUMIF(B6:B13,"業務",C6:C13)</f>
        <v/>
      </c>
    </row>
    <row r="21">
      <c r="A21" s="51" t="inlineStr">
        <is>
          <t>🔵</t>
        </is>
      </c>
      <c r="B21" s="46" t="n">
        <v>4</v>
      </c>
      <c r="C21" s="46" t="inlineStr">
        <is>
          <t>計算資訊部的平均績效</t>
        </is>
      </c>
      <c r="D21" s="49" t="n"/>
      <c r="E21" s="46">
        <f>IF(D21="","",IF(ROUND(D21,2)=ROUND(H21,2),"✅ 正確！","❌ 再想想"))</f>
        <v/>
      </c>
      <c r="F21" s="50" t="inlineStr">
        <is>
          <t>AVERAGEIF(條件範圍,"條件",平均範圍)</t>
        </is>
      </c>
      <c r="G21" s="42" t="n"/>
      <c r="H21" s="35">
        <f>AVERAGEIF(B6:B13,"資訊",D6:D13)</f>
        <v/>
      </c>
    </row>
    <row r="22">
      <c r="A22" s="52" t="inlineStr">
        <is>
          <t>🟡</t>
        </is>
      </c>
      <c r="B22" s="46" t="n">
        <v>5</v>
      </c>
      <c r="C22" s="46" t="inlineStr">
        <is>
          <t>計算績效 ≥ 80 的人數</t>
        </is>
      </c>
      <c r="D22" s="49" t="n"/>
      <c r="E22" s="46">
        <f>IF(D22="","",IF(ROUND(D22,2)=ROUND(H22,2),"✅ 正確！","❌ 再想想"))</f>
        <v/>
      </c>
      <c r="F22" s="50" t="inlineStr">
        <is>
          <t>COUNTIF(範圍,"&gt;=80")</t>
        </is>
      </c>
      <c r="G22" s="42" t="n"/>
      <c r="H22" s="35">
        <f>COUNTIF(D6:D13,"&gt;="&amp;80)</f>
        <v/>
      </c>
    </row>
    <row r="23">
      <c r="A23" s="52" t="inlineStr">
        <is>
          <t>🟡</t>
        </is>
      </c>
      <c r="B23" s="46" t="n">
        <v>6</v>
      </c>
      <c r="C23" s="46" t="inlineStr">
        <is>
          <t>計算年資 ≥ 5 的員工薪資總和</t>
        </is>
      </c>
      <c r="D23" s="49" t="n"/>
      <c r="E23" s="46">
        <f>IF(D23="","",IF(ROUND(D23,2)=ROUND(H23,2),"✅ 正確！","❌ 再想想"))</f>
        <v/>
      </c>
      <c r="F23" s="50" t="inlineStr">
        <is>
          <t>SUMIF(年資欄,"&gt;=5",薪資欄)</t>
        </is>
      </c>
      <c r="G23" s="42" t="n"/>
      <c r="H23" s="35">
        <f>SUMIF(E6:E13,"&gt;="&amp;5,C6:C13)</f>
        <v/>
      </c>
    </row>
    <row r="24">
      <c r="A24" s="53" t="inlineStr">
        <is>
          <t>🔴</t>
        </is>
      </c>
      <c r="B24" s="46" t="n">
        <v>7</v>
      </c>
      <c r="C24" s="46" t="inlineStr">
        <is>
          <t>計算業務部且績效≥80 的人數（COUNTIFS）</t>
        </is>
      </c>
      <c r="D24" s="49" t="n"/>
      <c r="E24" s="46">
        <f>IF(D24="","",IF(ROUND(D24,2)=ROUND(H24,2),"✅ 正確！","❌ 再想想"))</f>
        <v/>
      </c>
      <c r="F24" s="50" t="inlineStr">
        <is>
          <t>COUNTIFS(欄1,"條件1",欄2,"條件2")</t>
        </is>
      </c>
      <c r="G24" s="42" t="n"/>
      <c r="H24" s="35">
        <f>COUNTIFS(B6:B13,"業務",D6:D13,"&gt;="&amp;80)</f>
        <v/>
      </c>
    </row>
    <row r="25">
      <c r="A25" s="53" t="inlineStr">
        <is>
          <t>🔴</t>
        </is>
      </c>
      <c r="B25" s="46" t="n">
        <v>8</v>
      </c>
      <c r="C25" s="46" t="inlineStr">
        <is>
          <t>計算財務部且年資≥5 的平均薪資（AVERAGEIFS）</t>
        </is>
      </c>
      <c r="D25" s="49" t="n"/>
      <c r="E25" s="46">
        <f>IF(D25="","",IF(ROUND(D25,2)=ROUND(H25,2),"✅ 正確！","❌ 再想想"))</f>
        <v/>
      </c>
      <c r="F25" s="50" t="inlineStr">
        <is>
          <t>AVERAGEIFS(平均欄,條件欄1,"條件1",條件欄2,"條件2")</t>
        </is>
      </c>
      <c r="G25" s="42" t="n"/>
      <c r="H25" s="35">
        <f>AVERAGEIFS(C6:C13,B6:B13,"財務",E6:E13,"&gt;="&amp;5)</f>
        <v/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>
      <c r="A27" s="42" t="n"/>
      <c r="B27" s="42" t="n"/>
      <c r="C27" s="54" t="inlineStr">
        <is>
          <t>得分：</t>
        </is>
      </c>
      <c r="D27" s="55">
        <f>COUNTIF(E19:E26,"✅ 正確！") &amp; " / 8 正確"</f>
        <v/>
      </c>
      <c r="E27" s="42" t="n"/>
      <c r="F27" s="42" t="n"/>
      <c r="G27" s="42" t="n"/>
      <c r="H27" s="42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</sheetData>
  <mergeCells count="4">
    <mergeCell ref="A16:F16"/>
    <mergeCell ref="A2:F2"/>
    <mergeCell ref="A4:E4"/>
    <mergeCell ref="A1:F1"/>
  </mergeCells>
  <conditionalFormatting sqref="D18">
    <cfRule type="expression" priority="1" dxfId="0">
      <formula>AND(D18&lt;&gt;"",ROUND(D18,2)=ROUND(H18,2))</formula>
    </cfRule>
  </conditionalFormatting>
  <conditionalFormatting sqref="D19">
    <cfRule type="expression" priority="2" dxfId="0">
      <formula>AND(D19&lt;&gt;"",ROUND(D19,2)=ROUND(H19,2))</formula>
    </cfRule>
  </conditionalFormatting>
  <conditionalFormatting sqref="D20">
    <cfRule type="expression" priority="3" dxfId="0">
      <formula>AND(D20&lt;&gt;"",ROUND(D20,2)=ROUND(H20,2))</formula>
    </cfRule>
  </conditionalFormatting>
  <conditionalFormatting sqref="D21">
    <cfRule type="expression" priority="4" dxfId="0">
      <formula>AND(D21&lt;&gt;"",ROUND(D21,2)=ROUND(H21,2))</formula>
    </cfRule>
  </conditionalFormatting>
  <conditionalFormatting sqref="D22">
    <cfRule type="expression" priority="5" dxfId="0">
      <formula>AND(D22&lt;&gt;"",ROUND(D22,2)=ROUND(H22,2))</formula>
    </cfRule>
  </conditionalFormatting>
  <conditionalFormatting sqref="D23">
    <cfRule type="expression" priority="6" dxfId="0">
      <formula>AND(D23&lt;&gt;"",ROUND(D23,2)=ROUND(H23,2))</formula>
    </cfRule>
  </conditionalFormatting>
  <conditionalFormatting sqref="D24">
    <cfRule type="expression" priority="7" dxfId="0">
      <formula>AND(D24&lt;&gt;"",ROUND(D24,2)=ROUND(H24,2))</formula>
    </cfRule>
  </conditionalFormatting>
  <conditionalFormatting sqref="D25">
    <cfRule type="expression" priority="8" dxfId="0">
      <formula>AND(D25&lt;&gt;"",ROUND(D25,2)=ROUND(H25,2))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35" customWidth="1" min="4" max="4"/>
    <col width="14" customWidth="1" min="5" max="5"/>
    <col width="30" customWidth="1" min="6" max="6"/>
    <col hidden="1" width="13" customWidth="1" min="8" max="8"/>
  </cols>
  <sheetData>
    <row r="1">
      <c r="A1" s="41" t="inlineStr">
        <is>
          <t>✂️ 文字與日期處理</t>
        </is>
      </c>
      <c r="B1" s="42" t="n"/>
      <c r="C1" s="42" t="n"/>
      <c r="D1" s="42" t="n"/>
      <c r="E1" s="42" t="n"/>
      <c r="F1" s="42" t="n"/>
      <c r="G1" s="42" t="n"/>
      <c r="H1" s="42" t="n"/>
    </row>
    <row r="2">
      <c r="A2" s="43" t="inlineStr">
        <is>
          <t>在黃色邊框儲存格輸入公式 → 答對變綠 ✅ | 答錯變紅 ❌ | F欄提示選取可見</t>
        </is>
      </c>
      <c r="B2" s="42" t="n"/>
      <c r="C2" s="42" t="n"/>
      <c r="D2" s="42" t="n"/>
      <c r="E2" s="42" t="n"/>
      <c r="F2" s="42" t="n"/>
      <c r="G2" s="42" t="n"/>
      <c r="H2" s="42" t="n"/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>
      <c r="A4" s="44" t="inlineStr">
        <is>
          <t>📋 練習資料</t>
        </is>
      </c>
      <c r="B4" s="42" t="n"/>
      <c r="C4" s="42" t="n"/>
      <c r="D4" s="42" t="n"/>
      <c r="E4" s="42" t="n"/>
      <c r="F4" s="42" t="n"/>
      <c r="G4" s="42" t="n"/>
      <c r="H4" s="42" t="n"/>
    </row>
    <row r="5">
      <c r="A5" s="45" t="inlineStr">
        <is>
          <t>姓名</t>
        </is>
      </c>
      <c r="B5" s="45" t="inlineStr">
        <is>
          <t>身分證字號</t>
        </is>
      </c>
      <c r="C5" s="45" t="inlineStr">
        <is>
          <t>入職日期</t>
        </is>
      </c>
      <c r="D5" s="45" t="inlineStr">
        <is>
          <t>Email</t>
        </is>
      </c>
      <c r="E5" s="45" t="inlineStr">
        <is>
          <t>電話</t>
        </is>
      </c>
      <c r="F5" s="42" t="n"/>
      <c r="G5" s="42" t="n"/>
      <c r="H5" s="42" t="n"/>
    </row>
    <row r="6">
      <c r="A6" s="46" t="inlineStr">
        <is>
          <t>王小明</t>
        </is>
      </c>
      <c r="B6" s="46" t="inlineStr">
        <is>
          <t>A123456789</t>
        </is>
      </c>
      <c r="C6" s="46" t="inlineStr">
        <is>
          <t>2020/3/15</t>
        </is>
      </c>
      <c r="D6" s="46" t="inlineStr">
        <is>
          <t>wang@abc.com</t>
        </is>
      </c>
      <c r="E6" s="46" t="inlineStr">
        <is>
          <t>0912-345-678</t>
        </is>
      </c>
      <c r="F6" s="42" t="n"/>
      <c r="G6" s="42" t="n"/>
      <c r="H6" s="42" t="n"/>
    </row>
    <row r="7">
      <c r="A7" s="46" t="inlineStr">
        <is>
          <t>林美華</t>
        </is>
      </c>
      <c r="B7" s="46" t="inlineStr">
        <is>
          <t>B234567890</t>
        </is>
      </c>
      <c r="C7" s="46" t="inlineStr">
        <is>
          <t>2018/7/1</t>
        </is>
      </c>
      <c r="D7" s="46" t="inlineStr">
        <is>
          <t>lin@abc.com</t>
        </is>
      </c>
      <c r="E7" s="46" t="inlineStr">
        <is>
          <t>0923-456-789</t>
        </is>
      </c>
      <c r="F7" s="42" t="n"/>
      <c r="G7" s="42" t="n"/>
      <c r="H7" s="42" t="n"/>
    </row>
    <row r="8">
      <c r="A8" s="46" t="inlineStr">
        <is>
          <t>張志偉</t>
        </is>
      </c>
      <c r="B8" s="46" t="inlineStr">
        <is>
          <t>C345678901</t>
        </is>
      </c>
      <c r="C8" s="46" t="inlineStr">
        <is>
          <t>2022/1/20</t>
        </is>
      </c>
      <c r="D8" s="46" t="inlineStr">
        <is>
          <t>chang@xyz.com</t>
        </is>
      </c>
      <c r="E8" s="46" t="inlineStr">
        <is>
          <t>0934-567-890</t>
        </is>
      </c>
      <c r="F8" s="42" t="n"/>
      <c r="G8" s="42" t="n"/>
      <c r="H8" s="42" t="n"/>
    </row>
    <row r="9">
      <c r="A9" s="46" t="inlineStr">
        <is>
          <t>陳雅琪</t>
        </is>
      </c>
      <c r="B9" s="46" t="inlineStr">
        <is>
          <t>D456789012</t>
        </is>
      </c>
      <c r="C9" s="46" t="inlineStr">
        <is>
          <t>2019/11/5</t>
        </is>
      </c>
      <c r="D9" s="46" t="inlineStr">
        <is>
          <t>chen@xyz.com</t>
        </is>
      </c>
      <c r="E9" s="46" t="inlineStr">
        <is>
          <t>0945-678-901</t>
        </is>
      </c>
      <c r="F9" s="42" t="n"/>
      <c r="G9" s="42" t="n"/>
      <c r="H9" s="42" t="n"/>
    </row>
    <row r="10">
      <c r="A10" s="46" t="inlineStr">
        <is>
          <t>李大明</t>
        </is>
      </c>
      <c r="B10" s="46" t="inlineStr">
        <is>
          <t>E567890123</t>
        </is>
      </c>
      <c r="C10" s="46" t="inlineStr">
        <is>
          <t>2021/6/10</t>
        </is>
      </c>
      <c r="D10" s="46" t="inlineStr">
        <is>
          <t>lee@abc.com</t>
        </is>
      </c>
      <c r="E10" s="46" t="inlineStr">
        <is>
          <t>0956-789-012</t>
        </is>
      </c>
      <c r="F10" s="42" t="n"/>
      <c r="G10" s="42" t="n"/>
      <c r="H10" s="42" t="n"/>
    </row>
    <row r="11">
      <c r="A11" s="42" t="n"/>
      <c r="B11" s="42" t="n"/>
      <c r="C11" s="42" t="n"/>
      <c r="D11" s="42" t="n"/>
      <c r="E11" s="42" t="n"/>
      <c r="F11" s="42" t="n"/>
      <c r="G11" s="42" t="n"/>
      <c r="H11" s="42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</row>
    <row r="13">
      <c r="A13" s="44" t="inlineStr">
        <is>
          <t>🎯 練習題</t>
        </is>
      </c>
      <c r="B13" s="42" t="n"/>
      <c r="C13" s="42" t="n"/>
      <c r="D13" s="42" t="n"/>
      <c r="E13" s="42" t="n"/>
      <c r="F13" s="42" t="n"/>
      <c r="G13" s="42" t="n"/>
      <c r="H13" s="42" t="n"/>
    </row>
    <row r="14">
      <c r="A14" s="47" t="inlineStr">
        <is>
          <t>難度</t>
        </is>
      </c>
      <c r="B14" s="47" t="inlineStr">
        <is>
          <t>題號</t>
        </is>
      </c>
      <c r="C14" s="47" t="inlineStr">
        <is>
          <t>任務描述</t>
        </is>
      </c>
      <c r="D14" s="47" t="inlineStr">
        <is>
          <t>你的答案 ▼</t>
        </is>
      </c>
      <c r="E14" s="47" t="inlineStr">
        <is>
          <t>結果</t>
        </is>
      </c>
      <c r="F14" s="47" t="inlineStr">
        <is>
          <t>提示（反白可見）</t>
        </is>
      </c>
      <c r="G14" s="42" t="n"/>
      <c r="H14" s="42" t="n"/>
    </row>
    <row r="15">
      <c r="A15" s="48" t="inlineStr">
        <is>
          <t>🟢</t>
        </is>
      </c>
      <c r="B15" s="46" t="n">
        <v>1</v>
      </c>
      <c r="C15" s="46" t="inlineStr">
        <is>
          <t>取出王小明身分證前 1 碼（英文字母）</t>
        </is>
      </c>
      <c r="D15" s="49" t="n"/>
      <c r="E15" s="46">
        <f>IF(D15="","",IF(EXACT(TRIM(D15),TRIM(H15)),"✅ 正確！","❌ 再想想"))</f>
        <v/>
      </c>
      <c r="F15" s="50" t="inlineStr">
        <is>
          <t>LEFT(文字,字數)</t>
        </is>
      </c>
      <c r="G15" s="42" t="n"/>
      <c r="H15" s="35">
        <f>LEFT(B6,1)</f>
        <v/>
      </c>
    </row>
    <row r="16">
      <c r="A16" s="48" t="inlineStr">
        <is>
          <t>🟢</t>
        </is>
      </c>
      <c r="B16" s="46" t="n">
        <v>2</v>
      </c>
      <c r="C16" s="46" t="inlineStr">
        <is>
          <t>取出王小明 Email 的 @ 後面域名</t>
        </is>
      </c>
      <c r="D16" s="49" t="n"/>
      <c r="E16" s="46">
        <f>IF(D16="","",IF(EXACT(TRIM(D16),TRIM(H16)),"✅ 正確！","❌ 再想想"))</f>
        <v/>
      </c>
      <c r="F16" s="50" t="inlineStr">
        <is>
          <t>MID + FIND("@",文字)</t>
        </is>
      </c>
      <c r="G16" s="42" t="n"/>
      <c r="H16" s="35">
        <f>MID(D6,FIND("@",D6)+1,100)</f>
        <v/>
      </c>
    </row>
    <row r="17">
      <c r="A17" s="51" t="inlineStr">
        <is>
          <t>🔵</t>
        </is>
      </c>
      <c r="B17" s="46" t="n">
        <v>3</v>
      </c>
      <c r="C17" s="46" t="inlineStr">
        <is>
          <t>計算王小明的年資（到今天的完整年數）</t>
        </is>
      </c>
      <c r="D17" s="49" t="n"/>
      <c r="E17" s="46">
        <f>IF(D17="","",IF(ROUND(D17,2)=ROUND(H17,2),"✅ 正確！","❌ 再想想"))</f>
        <v/>
      </c>
      <c r="F17" s="50" t="inlineStr">
        <is>
          <t>DATEDIF(開始,結束,"Y")</t>
        </is>
      </c>
      <c r="G17" s="42" t="n"/>
      <c r="H17" s="35">
        <f>DATEDIF(C6,TODAY(),"Y")</f>
        <v/>
      </c>
    </row>
    <row r="18">
      <c r="A18" s="51" t="inlineStr">
        <is>
          <t>🔵</t>
        </is>
      </c>
      <c r="B18" s="46" t="n">
        <v>4</v>
      </c>
      <c r="C18" s="46" t="inlineStr">
        <is>
          <t>把王小明的姓和名串接，中間加空格</t>
        </is>
      </c>
      <c r="D18" s="49" t="n"/>
      <c r="E18" s="46">
        <f>IF(D18="","",IF(EXACT(TRIM(D18),TRIM(H18)),"✅ 正確！","❌ 再想想"))</f>
        <v/>
      </c>
      <c r="F18" s="50" t="inlineStr">
        <is>
          <t>LEFT取姓 &amp; " " &amp; MID取名</t>
        </is>
      </c>
      <c r="G18" s="42" t="n"/>
      <c r="H18" s="35">
        <f>LEFT(A6,1)&amp;" "&amp;MID(A6,2,10)</f>
        <v/>
      </c>
    </row>
    <row r="19">
      <c r="A19" s="52" t="inlineStr">
        <is>
          <t>🟡</t>
        </is>
      </c>
      <c r="B19" s="46" t="n">
        <v>5</v>
      </c>
      <c r="C19" s="46" t="inlineStr">
        <is>
          <t>取出王小明入職日期的月份</t>
        </is>
      </c>
      <c r="D19" s="49" t="n"/>
      <c r="E19" s="46">
        <f>IF(D19="","",IF(ROUND(D19,2)=ROUND(H19,2),"✅ 正確！","❌ 再想想"))</f>
        <v/>
      </c>
      <c r="F19" s="50" t="inlineStr">
        <is>
          <t>MONTH(日期)</t>
        </is>
      </c>
      <c r="G19" s="42" t="n"/>
      <c r="H19" s="35">
        <f>MONTH(C6)</f>
        <v/>
      </c>
    </row>
    <row r="20">
      <c r="A20" s="52" t="inlineStr">
        <is>
          <t>🟡</t>
        </is>
      </c>
      <c r="B20" s="46" t="n">
        <v>6</v>
      </c>
      <c r="C20" s="46" t="inlineStr">
        <is>
          <t>將王小明姓名全轉大寫（英文測試用 Email）</t>
        </is>
      </c>
      <c r="D20" s="49" t="n"/>
      <c r="E20" s="46">
        <f>IF(D20="","",IF(EXACT(TRIM(D20),TRIM(H20)),"✅ 正確！","❌ 再想想"))</f>
        <v/>
      </c>
      <c r="F20" s="50" t="inlineStr">
        <is>
          <t>UPPER(文字)</t>
        </is>
      </c>
      <c r="G20" s="42" t="n"/>
      <c r="H20" s="35">
        <f>UPPER(D6)</f>
        <v/>
      </c>
    </row>
    <row r="21">
      <c r="A21" s="53" t="inlineStr">
        <is>
          <t>🔴</t>
        </is>
      </c>
      <c r="B21" s="46" t="n">
        <v>7</v>
      </c>
      <c r="C21" s="46" t="inlineStr">
        <is>
          <t>計算王小明電話號碼中去掉 - 後的純數字長度</t>
        </is>
      </c>
      <c r="D21" s="49" t="n"/>
      <c r="E21" s="46">
        <f>IF(D21="","",IF(ROUND(D21,2)=ROUND(H21,2),"✅ 正確！","❌ 再想想"))</f>
        <v/>
      </c>
      <c r="F21" s="50" t="inlineStr">
        <is>
          <t>LEN(SUBSTITUTE(文字,"-",""))</t>
        </is>
      </c>
      <c r="G21" s="42" t="n"/>
      <c r="H21" s="35">
        <f>LEN(SUBSTITUTE(E6,"-",""))</f>
        <v/>
      </c>
    </row>
    <row r="22">
      <c r="A22" s="53" t="inlineStr">
        <is>
          <t>🔴</t>
        </is>
      </c>
      <c r="B22" s="46" t="n">
        <v>8</v>
      </c>
      <c r="C22" s="46" t="inlineStr">
        <is>
          <t>用 TEXT 把王小明入職日期格式化為 "2020年03月"</t>
        </is>
      </c>
      <c r="D22" s="49" t="n"/>
      <c r="E22" s="46">
        <f>IF(D22="","",IF(EXACT(TRIM(D22),TRIM(H22)),"✅ 正確！","❌ 再想想"))</f>
        <v/>
      </c>
      <c r="F22" s="50" t="inlineStr">
        <is>
          <t>TEXT(日期,"yyyy年mm月")</t>
        </is>
      </c>
      <c r="G22" s="42" t="n"/>
      <c r="H22" s="35">
        <f>TEXT(C6,"yyyy年mm月")</f>
        <v/>
      </c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</row>
    <row r="24">
      <c r="A24" s="42" t="n"/>
      <c r="B24" s="42" t="n"/>
      <c r="C24" s="54" t="inlineStr">
        <is>
          <t>得分：</t>
        </is>
      </c>
      <c r="D24" s="55">
        <f>COUNTIF(E16:E23,"✅ 正確！") &amp; " / 8 正確"</f>
        <v/>
      </c>
      <c r="E24" s="42" t="n"/>
      <c r="F24" s="42" t="n"/>
      <c r="G24" s="42" t="n"/>
      <c r="H24" s="42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</row>
  </sheetData>
  <mergeCells count="4">
    <mergeCell ref="A13:F13"/>
    <mergeCell ref="A2:F2"/>
    <mergeCell ref="A4:E4"/>
    <mergeCell ref="A1:F1"/>
  </mergeCells>
  <conditionalFormatting sqref="D15">
    <cfRule type="expression" priority="1" dxfId="0">
      <formula>AND(D15&lt;&gt;"",EXACT(TRIM(D15),TRIM(H15)))</formula>
    </cfRule>
  </conditionalFormatting>
  <conditionalFormatting sqref="D16">
    <cfRule type="expression" priority="2" dxfId="0">
      <formula>AND(D16&lt;&gt;"",EXACT(TRIM(D16),TRIM(H16)))</formula>
    </cfRule>
  </conditionalFormatting>
  <conditionalFormatting sqref="D17">
    <cfRule type="expression" priority="3" dxfId="0">
      <formula>AND(D17&lt;&gt;"",ROUND(D17,2)=ROUND(H17,2))</formula>
    </cfRule>
  </conditionalFormatting>
  <conditionalFormatting sqref="D18">
    <cfRule type="expression" priority="4" dxfId="0">
      <formula>AND(D18&lt;&gt;"",EXACT(TRIM(D18),TRIM(H18)))</formula>
    </cfRule>
  </conditionalFormatting>
  <conditionalFormatting sqref="D19">
    <cfRule type="expression" priority="5" dxfId="0">
      <formula>AND(D19&lt;&gt;"",ROUND(D19,2)=ROUND(H19,2))</formula>
    </cfRule>
  </conditionalFormatting>
  <conditionalFormatting sqref="D20">
    <cfRule type="expression" priority="6" dxfId="0">
      <formula>AND(D20&lt;&gt;"",EXACT(TRIM(D20),TRIM(H20)))</formula>
    </cfRule>
  </conditionalFormatting>
  <conditionalFormatting sqref="D21">
    <cfRule type="expression" priority="7" dxfId="0">
      <formula>AND(D21&lt;&gt;"",ROUND(D21,2)=ROUND(H21,2))</formula>
    </cfRule>
  </conditionalFormatting>
  <conditionalFormatting sqref="D22">
    <cfRule type="expression" priority="8" dxfId="0">
      <formula>AND(D22&lt;&gt;"",EXACT(TRIM(D22),TRIM(H22)))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4899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35" customWidth="1" min="4" max="4"/>
    <col width="14" customWidth="1" min="5" max="5"/>
    <col width="30" customWidth="1" min="6" max="6"/>
    <col hidden="1" width="13" customWidth="1" min="8" max="8"/>
  </cols>
  <sheetData>
    <row r="1">
      <c r="A1" s="41" t="inlineStr">
        <is>
          <t>🔢 陣列與動態函式 — SORT / FILTER / UNIQUE</t>
        </is>
      </c>
      <c r="B1" s="42" t="n"/>
      <c r="C1" s="42" t="n"/>
      <c r="D1" s="42" t="n"/>
      <c r="E1" s="42" t="n"/>
      <c r="F1" s="42" t="n"/>
      <c r="G1" s="42" t="n"/>
      <c r="H1" s="42" t="n"/>
    </row>
    <row r="2">
      <c r="A2" s="43" t="inlineStr">
        <is>
          <t>在黃色邊框儲存格輸入公式 → 答對變綠 ✅ | 答錯變紅 ❌ | F欄提示選取可見</t>
        </is>
      </c>
      <c r="B2" s="42" t="n"/>
      <c r="C2" s="42" t="n"/>
      <c r="D2" s="42" t="n"/>
      <c r="E2" s="42" t="n"/>
      <c r="F2" s="42" t="n"/>
      <c r="G2" s="42" t="n"/>
      <c r="H2" s="42" t="n"/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>
      <c r="A4" s="44" t="inlineStr">
        <is>
          <t>📋 練習資料</t>
        </is>
      </c>
      <c r="B4" s="42" t="n"/>
      <c r="C4" s="42" t="n"/>
      <c r="D4" s="42" t="n"/>
      <c r="E4" s="42" t="n"/>
      <c r="F4" s="42" t="n"/>
      <c r="G4" s="42" t="n"/>
      <c r="H4" s="42" t="n"/>
    </row>
    <row r="5">
      <c r="A5" s="45" t="inlineStr">
        <is>
          <t>產品</t>
        </is>
      </c>
      <c r="B5" s="45" t="inlineStr">
        <is>
          <t>類別</t>
        </is>
      </c>
      <c r="C5" s="45" t="inlineStr">
        <is>
          <t>單價</t>
        </is>
      </c>
      <c r="D5" s="45" t="inlineStr">
        <is>
          <t>銷量</t>
        </is>
      </c>
      <c r="E5" s="45" t="inlineStr">
        <is>
          <t>評分</t>
        </is>
      </c>
      <c r="F5" s="42" t="n"/>
      <c r="G5" s="42" t="n"/>
      <c r="H5" s="42" t="n"/>
    </row>
    <row r="6">
      <c r="A6" s="46" t="inlineStr">
        <is>
          <t>無線滑鼠</t>
        </is>
      </c>
      <c r="B6" s="46" t="inlineStr">
        <is>
          <t>周邊</t>
        </is>
      </c>
      <c r="C6" s="46" t="n">
        <v>590</v>
      </c>
      <c r="D6" s="46" t="n">
        <v>120</v>
      </c>
      <c r="E6" s="46" t="n">
        <v>4.5</v>
      </c>
      <c r="F6" s="42" t="n"/>
      <c r="G6" s="42" t="n"/>
      <c r="H6" s="42" t="n"/>
    </row>
    <row r="7">
      <c r="A7" s="46" t="inlineStr">
        <is>
          <t>機械鍵盤</t>
        </is>
      </c>
      <c r="B7" s="46" t="inlineStr">
        <is>
          <t>周邊</t>
        </is>
      </c>
      <c r="C7" s="46" t="n">
        <v>2200</v>
      </c>
      <c r="D7" s="46" t="n">
        <v>45</v>
      </c>
      <c r="E7" s="46" t="n">
        <v>4.8</v>
      </c>
      <c r="F7" s="42" t="n"/>
      <c r="G7" s="42" t="n"/>
      <c r="H7" s="42" t="n"/>
    </row>
    <row r="8">
      <c r="A8" s="46" t="inlineStr">
        <is>
          <t>27吋螢幕</t>
        </is>
      </c>
      <c r="B8" s="46" t="inlineStr">
        <is>
          <t>顯示</t>
        </is>
      </c>
      <c r="C8" s="46" t="n">
        <v>8900</v>
      </c>
      <c r="D8" s="46" t="n">
        <v>18</v>
      </c>
      <c r="E8" s="46" t="n">
        <v>4.7</v>
      </c>
      <c r="F8" s="42" t="n"/>
      <c r="G8" s="42" t="n"/>
      <c r="H8" s="42" t="n"/>
    </row>
    <row r="9">
      <c r="A9" s="46" t="inlineStr">
        <is>
          <t>網路攝影機</t>
        </is>
      </c>
      <c r="B9" s="46" t="inlineStr">
        <is>
          <t>周邊</t>
        </is>
      </c>
      <c r="C9" s="46" t="n">
        <v>1500</v>
      </c>
      <c r="D9" s="46" t="n">
        <v>67</v>
      </c>
      <c r="E9" s="46" t="n">
        <v>4.2</v>
      </c>
      <c r="F9" s="42" t="n"/>
      <c r="G9" s="42" t="n"/>
      <c r="H9" s="42" t="n"/>
    </row>
    <row r="10">
      <c r="A10" s="46" t="inlineStr">
        <is>
          <t>USB集線器</t>
        </is>
      </c>
      <c r="B10" s="46" t="inlineStr">
        <is>
          <t>配件</t>
        </is>
      </c>
      <c r="C10" s="46" t="n">
        <v>450</v>
      </c>
      <c r="D10" s="46" t="n">
        <v>200</v>
      </c>
      <c r="E10" s="46" t="n">
        <v>4</v>
      </c>
      <c r="F10" s="42" t="n"/>
      <c r="G10" s="42" t="n"/>
      <c r="H10" s="42" t="n"/>
    </row>
    <row r="11">
      <c r="A11" s="46" t="inlineStr">
        <is>
          <t>外接硬碟</t>
        </is>
      </c>
      <c r="B11" s="46" t="inlineStr">
        <is>
          <t>儲存</t>
        </is>
      </c>
      <c r="C11" s="46" t="n">
        <v>2800</v>
      </c>
      <c r="D11" s="46" t="n">
        <v>32</v>
      </c>
      <c r="E11" s="46" t="n">
        <v>4.6</v>
      </c>
      <c r="F11" s="42" t="n"/>
      <c r="G11" s="42" t="n"/>
      <c r="H11" s="42" t="n"/>
    </row>
    <row r="12">
      <c r="A12" s="46" t="inlineStr">
        <is>
          <t>藍牙喇叭</t>
        </is>
      </c>
      <c r="B12" s="46" t="inlineStr">
        <is>
          <t>周邊</t>
        </is>
      </c>
      <c r="C12" s="46" t="n">
        <v>1200</v>
      </c>
      <c r="D12" s="46" t="n">
        <v>85</v>
      </c>
      <c r="E12" s="46" t="n">
        <v>4.3</v>
      </c>
      <c r="F12" s="42" t="n"/>
      <c r="G12" s="42" t="n"/>
      <c r="H12" s="42" t="n"/>
    </row>
    <row r="13">
      <c r="A13" s="46" t="inlineStr">
        <is>
          <t>行動電源</t>
        </is>
      </c>
      <c r="B13" s="46" t="inlineStr">
        <is>
          <t>配件</t>
        </is>
      </c>
      <c r="C13" s="46" t="n">
        <v>680</v>
      </c>
      <c r="D13" s="46" t="n">
        <v>150</v>
      </c>
      <c r="E13" s="46" t="n">
        <v>4.1</v>
      </c>
      <c r="F13" s="42" t="n"/>
      <c r="G13" s="42" t="n"/>
      <c r="H13" s="42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</row>
    <row r="16">
      <c r="A16" s="44" t="inlineStr">
        <is>
          <t>🎯 練習題</t>
        </is>
      </c>
      <c r="B16" s="42" t="n"/>
      <c r="C16" s="42" t="n"/>
      <c r="D16" s="42" t="n"/>
      <c r="E16" s="42" t="n"/>
      <c r="F16" s="42" t="n"/>
      <c r="G16" s="42" t="n"/>
      <c r="H16" s="42" t="n"/>
    </row>
    <row r="17">
      <c r="A17" s="47" t="inlineStr">
        <is>
          <t>難度</t>
        </is>
      </c>
      <c r="B17" s="47" t="inlineStr">
        <is>
          <t>題號</t>
        </is>
      </c>
      <c r="C17" s="47" t="inlineStr">
        <is>
          <t>任務描述</t>
        </is>
      </c>
      <c r="D17" s="47" t="inlineStr">
        <is>
          <t>你的答案 ▼</t>
        </is>
      </c>
      <c r="E17" s="47" t="inlineStr">
        <is>
          <t>結果</t>
        </is>
      </c>
      <c r="F17" s="47" t="inlineStr">
        <is>
          <t>提示（反白可見）</t>
        </is>
      </c>
      <c r="G17" s="42" t="n"/>
      <c r="H17" s="42" t="n"/>
    </row>
    <row r="18">
      <c r="A18" s="48" t="inlineStr">
        <is>
          <t>🟢</t>
        </is>
      </c>
      <c r="B18" s="46" t="n">
        <v>1</v>
      </c>
      <c r="C18" s="46" t="inlineStr">
        <is>
          <t>計算所有產品的營收總和（單價×銷量 的總和）</t>
        </is>
      </c>
      <c r="D18" s="49" t="n"/>
      <c r="E18" s="46">
        <f>IF(D18="","",IF(ROUND(D18,2)=ROUND(H18,2),"✅ 正確！","❌ 再想想"))</f>
        <v/>
      </c>
      <c r="F18" s="50" t="inlineStr">
        <is>
          <t>SUMPRODUCT(單價欄,銷量欄)</t>
        </is>
      </c>
      <c r="G18" s="42" t="n"/>
      <c r="H18" s="35">
        <f>SUMPRODUCT(C6:C13,D6:D13)</f>
        <v/>
      </c>
    </row>
    <row r="19">
      <c r="A19" s="48" t="inlineStr">
        <is>
          <t>🟢</t>
        </is>
      </c>
      <c r="B19" s="46" t="n">
        <v>2</v>
      </c>
      <c r="C19" s="46" t="inlineStr">
        <is>
          <t>列出不重複的類別清單（第一個）</t>
        </is>
      </c>
      <c r="D19" s="49" t="n"/>
      <c r="E19" s="46">
        <f>IF(D19="","",IF(EXACT(TRIM(D19),TRIM(H19)),"✅ 正確！","❌ 再想想"))</f>
        <v/>
      </c>
      <c r="F19" s="50" t="inlineStr">
        <is>
          <t>UNIQUE(範圍) 動態溢出</t>
        </is>
      </c>
      <c r="G19" s="42" t="n"/>
      <c r="H19" s="35">
        <f>UNIQUE(B6:B13)</f>
        <v/>
      </c>
    </row>
    <row r="20">
      <c r="A20" s="51" t="inlineStr">
        <is>
          <t>🔵</t>
        </is>
      </c>
      <c r="B20" s="46" t="n">
        <v>3</v>
      </c>
      <c r="C20" s="46" t="inlineStr">
        <is>
          <t>計算周邊類產品的平均評分</t>
        </is>
      </c>
      <c r="D20" s="49" t="n"/>
      <c r="E20" s="46">
        <f>IF(D20="","",IF(ROUND(D20,2)=ROUND(H20,2),"✅ 正確！","❌ 再想想"))</f>
        <v/>
      </c>
      <c r="F20" s="50" t="inlineStr">
        <is>
          <t>AVERAGEIF(類別欄,"周邊",評分欄)</t>
        </is>
      </c>
      <c r="G20" s="42" t="n"/>
      <c r="H20" s="35">
        <f>AVERAGEIF(B6:B13,"周邊",E6:E13)</f>
        <v/>
      </c>
    </row>
    <row r="21">
      <c r="A21" s="51" t="inlineStr">
        <is>
          <t>🔵</t>
        </is>
      </c>
      <c r="B21" s="46" t="n">
        <v>4</v>
      </c>
      <c r="C21" s="46" t="inlineStr">
        <is>
          <t>找出銷量最高的產品名稱</t>
        </is>
      </c>
      <c r="D21" s="49" t="n"/>
      <c r="E21" s="46">
        <f>IF(D21="","",IF(EXACT(TRIM(D21),TRIM(H21)),"✅ 正確！","❌ 再想想"))</f>
        <v/>
      </c>
      <c r="F21" s="50" t="inlineStr">
        <is>
          <t>INDEX+MATCH+MAX 三層組合</t>
        </is>
      </c>
      <c r="G21" s="42" t="n"/>
      <c r="H21" s="35">
        <f>INDEX(A6:A13,MATCH(MAX(D6:D13),D6:D13,0))</f>
        <v/>
      </c>
    </row>
    <row r="22">
      <c r="A22" s="52" t="inlineStr">
        <is>
          <t>🟡</t>
        </is>
      </c>
      <c r="B22" s="46" t="n">
        <v>5</v>
      </c>
      <c r="C22" s="46" t="inlineStr">
        <is>
          <t>計算單價超過 1000 的產品數量</t>
        </is>
      </c>
      <c r="D22" s="49" t="n"/>
      <c r="E22" s="46">
        <f>IF(D22="","",IF(ROUND(D22,2)=ROUND(H22,2),"✅ 正確！","❌ 再想想"))</f>
        <v/>
      </c>
      <c r="F22" s="50" t="inlineStr">
        <is>
          <t>COUNTIF(範圍,"&gt;1000")</t>
        </is>
      </c>
      <c r="G22" s="42" t="n"/>
      <c r="H22" s="35">
        <f>COUNTIF(C6:C13,"&gt;"&amp;1000)</f>
        <v/>
      </c>
    </row>
    <row r="23">
      <c r="A23" s="52" t="inlineStr">
        <is>
          <t>🟡</t>
        </is>
      </c>
      <c r="B23" s="46" t="n">
        <v>6</v>
      </c>
      <c r="C23" s="46" t="inlineStr">
        <is>
          <t>用 SUMPRODUCT 計算周邊類的總銷量</t>
        </is>
      </c>
      <c r="D23" s="49" t="n"/>
      <c r="E23" s="46">
        <f>IF(D23="","",IF(ROUND(D23,2)=ROUND(H23,2),"✅ 正確！","❌ 再想想"))</f>
        <v/>
      </c>
      <c r="F23" s="50" t="inlineStr">
        <is>
          <t>SUMPRODUCT((條件)*數值欄)</t>
        </is>
      </c>
      <c r="G23" s="42" t="n"/>
      <c r="H23" s="35">
        <f>SUMPRODUCT((B6:B13="周邊")*D6:D13)</f>
        <v/>
      </c>
    </row>
    <row r="24">
      <c r="A24" s="53" t="inlineStr">
        <is>
          <t>🔴</t>
        </is>
      </c>
      <c r="B24" s="46" t="n">
        <v>7</v>
      </c>
      <c r="C24" s="46" t="inlineStr">
        <is>
          <t>計算評分最高的產品單價</t>
        </is>
      </c>
      <c r="D24" s="49" t="n"/>
      <c r="E24" s="46">
        <f>IF(D24="","",IF(ROUND(D24,2)=ROUND(H24,2),"✅ 正確！","❌ 再想想"))</f>
        <v/>
      </c>
      <c r="F24" s="50" t="inlineStr">
        <is>
          <t>INDEX(單價欄,MATCH(MAX(評分),評分欄,0))</t>
        </is>
      </c>
      <c r="G24" s="42" t="n"/>
      <c r="H24" s="35">
        <f>INDEX(C6:C13,MATCH(MAX(E6:E13),E6:E13,0))</f>
        <v/>
      </c>
    </row>
    <row r="25">
      <c r="A25" s="53" t="inlineStr">
        <is>
          <t>🔴</t>
        </is>
      </c>
      <c r="B25" s="46" t="n">
        <v>8</v>
      </c>
      <c r="C25" s="46" t="inlineStr">
        <is>
          <t>計算所有產品的加權平均評分（以銷量為權重）</t>
        </is>
      </c>
      <c r="D25" s="49" t="n"/>
      <c r="E25" s="46">
        <f>IF(D25="","",IF(ROUND(D25,2)=ROUND(H25,2),"✅ 正確！","❌ 再想想"))</f>
        <v/>
      </c>
      <c r="F25" s="50" t="inlineStr">
        <is>
          <t>SUMPRODUCT(銷量,評分)/SUM(銷量)</t>
        </is>
      </c>
      <c r="G25" s="42" t="n"/>
      <c r="H25" s="35">
        <f>SUMPRODUCT(D6:D13,E6:E13)/SUM(D6:D13)</f>
        <v/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>
      <c r="A27" s="42" t="n"/>
      <c r="B27" s="42" t="n"/>
      <c r="C27" s="54" t="inlineStr">
        <is>
          <t>得分：</t>
        </is>
      </c>
      <c r="D27" s="55">
        <f>COUNTIF(E19:E26,"✅ 正確！") &amp; " / 8 正確"</f>
        <v/>
      </c>
      <c r="E27" s="42" t="n"/>
      <c r="F27" s="42" t="n"/>
      <c r="G27" s="42" t="n"/>
      <c r="H27" s="42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</sheetData>
  <mergeCells count="4">
    <mergeCell ref="A16:F16"/>
    <mergeCell ref="A2:F2"/>
    <mergeCell ref="A4:E4"/>
    <mergeCell ref="A1:F1"/>
  </mergeCells>
  <conditionalFormatting sqref="D18">
    <cfRule type="expression" priority="1" dxfId="0">
      <formula>AND(D18&lt;&gt;"",ROUND(D18,2)=ROUND(H18,2))</formula>
    </cfRule>
  </conditionalFormatting>
  <conditionalFormatting sqref="D19">
    <cfRule type="expression" priority="2" dxfId="0">
      <formula>AND(D19&lt;&gt;"",EXACT(TRIM(D19),TRIM(H19)))</formula>
    </cfRule>
  </conditionalFormatting>
  <conditionalFormatting sqref="D20">
    <cfRule type="expression" priority="3" dxfId="0">
      <formula>AND(D20&lt;&gt;"",ROUND(D20,2)=ROUND(H20,2))</formula>
    </cfRule>
  </conditionalFormatting>
  <conditionalFormatting sqref="D21">
    <cfRule type="expression" priority="4" dxfId="0">
      <formula>AND(D21&lt;&gt;"",EXACT(TRIM(D21),TRIM(H21)))</formula>
    </cfRule>
  </conditionalFormatting>
  <conditionalFormatting sqref="D22">
    <cfRule type="expression" priority="5" dxfId="0">
      <formula>AND(D22&lt;&gt;"",ROUND(D22,2)=ROUND(H22,2))</formula>
    </cfRule>
  </conditionalFormatting>
  <conditionalFormatting sqref="D23">
    <cfRule type="expression" priority="6" dxfId="0">
      <formula>AND(D23&lt;&gt;"",ROUND(D23,2)=ROUND(H23,2))</formula>
    </cfRule>
  </conditionalFormatting>
  <conditionalFormatting sqref="D24">
    <cfRule type="expression" priority="7" dxfId="0">
      <formula>AND(D24&lt;&gt;"",ROUND(D24,2)=ROUND(H24,2))</formula>
    </cfRule>
  </conditionalFormatting>
  <conditionalFormatting sqref="D25">
    <cfRule type="expression" priority="8" dxfId="0">
      <formula>AND(D25&lt;&gt;"",ROUND(D25,2)=ROUND(H25,2))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4444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35" customWidth="1" min="4" max="4"/>
    <col width="14" customWidth="1" min="5" max="5"/>
    <col width="30" customWidth="1" min="6" max="6"/>
    <col hidden="1" width="13" customWidth="1" min="8" max="8"/>
  </cols>
  <sheetData>
    <row r="1">
      <c r="A1" s="41" t="inlineStr">
        <is>
          <t>🏆 進階綜合挑戰</t>
        </is>
      </c>
      <c r="B1" s="42" t="n"/>
      <c r="C1" s="42" t="n"/>
      <c r="D1" s="42" t="n"/>
      <c r="E1" s="42" t="n"/>
      <c r="F1" s="42" t="n"/>
      <c r="G1" s="42" t="n"/>
      <c r="H1" s="42" t="n"/>
    </row>
    <row r="2">
      <c r="A2" s="43" t="inlineStr">
        <is>
          <t>在黃色邊框儲存格輸入公式 → 答對變綠 ✅ | 答錯變紅 ❌ | F欄提示選取可見</t>
        </is>
      </c>
      <c r="B2" s="42" t="n"/>
      <c r="C2" s="42" t="n"/>
      <c r="D2" s="42" t="n"/>
      <c r="E2" s="42" t="n"/>
      <c r="F2" s="42" t="n"/>
      <c r="G2" s="42" t="n"/>
      <c r="H2" s="42" t="n"/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>
      <c r="A4" s="44" t="inlineStr">
        <is>
          <t>📋 練習資料</t>
        </is>
      </c>
      <c r="B4" s="42" t="n"/>
      <c r="C4" s="42" t="n"/>
      <c r="D4" s="42" t="n"/>
      <c r="E4" s="42" t="n"/>
      <c r="F4" s="42" t="n"/>
      <c r="G4" s="42" t="n"/>
      <c r="H4" s="42" t="n"/>
    </row>
    <row r="5">
      <c r="A5" s="45" t="inlineStr">
        <is>
          <t>員工</t>
        </is>
      </c>
      <c r="B5" s="45" t="inlineStr">
        <is>
          <t>部門</t>
        </is>
      </c>
      <c r="C5" s="45" t="inlineStr">
        <is>
          <t>月薪</t>
        </is>
      </c>
      <c r="D5" s="45" t="inlineStr">
        <is>
          <t>Q1業績</t>
        </is>
      </c>
      <c r="E5" s="45" t="inlineStr">
        <is>
          <t>Q2業績</t>
        </is>
      </c>
      <c r="F5" s="45" t="inlineStr">
        <is>
          <t>Q3業績</t>
        </is>
      </c>
      <c r="G5" s="45" t="inlineStr">
        <is>
          <t>Q4業績</t>
        </is>
      </c>
      <c r="H5" s="42" t="n"/>
    </row>
    <row r="6">
      <c r="A6" s="46" t="inlineStr">
        <is>
          <t>王小明</t>
        </is>
      </c>
      <c r="B6" s="46" t="inlineStr">
        <is>
          <t>業務</t>
        </is>
      </c>
      <c r="C6" s="46" t="n">
        <v>55000</v>
      </c>
      <c r="D6" s="46" t="n">
        <v>120000</v>
      </c>
      <c r="E6" s="46" t="n">
        <v>135000</v>
      </c>
      <c r="F6" s="46" t="n">
        <v>98000</v>
      </c>
      <c r="G6" s="46" t="n">
        <v>145000</v>
      </c>
      <c r="H6" s="42" t="n"/>
    </row>
    <row r="7">
      <c r="A7" s="46" t="inlineStr">
        <is>
          <t>林美華</t>
        </is>
      </c>
      <c r="B7" s="46" t="inlineStr">
        <is>
          <t>財務</t>
        </is>
      </c>
      <c r="C7" s="46" t="n">
        <v>48000</v>
      </c>
      <c r="D7" s="46" t="n">
        <v>0</v>
      </c>
      <c r="E7" s="46" t="n">
        <v>0</v>
      </c>
      <c r="F7" s="46" t="n">
        <v>0</v>
      </c>
      <c r="G7" s="46" t="n">
        <v>0</v>
      </c>
      <c r="H7" s="42" t="n"/>
    </row>
    <row r="8">
      <c r="A8" s="46" t="inlineStr">
        <is>
          <t>張志偉</t>
        </is>
      </c>
      <c r="B8" s="46" t="inlineStr">
        <is>
          <t>業務</t>
        </is>
      </c>
      <c r="C8" s="46" t="n">
        <v>68000</v>
      </c>
      <c r="D8" s="46" t="n">
        <v>210000</v>
      </c>
      <c r="E8" s="46" t="n">
        <v>185000</v>
      </c>
      <c r="F8" s="46" t="n">
        <v>220000</v>
      </c>
      <c r="G8" s="46" t="n">
        <v>195000</v>
      </c>
      <c r="H8" s="42" t="n"/>
    </row>
    <row r="9">
      <c r="A9" s="46" t="inlineStr">
        <is>
          <t>陳雅琪</t>
        </is>
      </c>
      <c r="B9" s="46" t="inlineStr">
        <is>
          <t>資訊</t>
        </is>
      </c>
      <c r="C9" s="46" t="n">
        <v>42000</v>
      </c>
      <c r="D9" s="46" t="n">
        <v>0</v>
      </c>
      <c r="E9" s="46" t="n">
        <v>0</v>
      </c>
      <c r="F9" s="46" t="n">
        <v>0</v>
      </c>
      <c r="G9" s="46" t="n">
        <v>0</v>
      </c>
      <c r="H9" s="42" t="n"/>
    </row>
    <row r="10">
      <c r="A10" s="46" t="inlineStr">
        <is>
          <t>李大明</t>
        </is>
      </c>
      <c r="B10" s="46" t="inlineStr">
        <is>
          <t>業務</t>
        </is>
      </c>
      <c r="C10" s="46" t="n">
        <v>51000</v>
      </c>
      <c r="D10" s="46" t="n">
        <v>95000</v>
      </c>
      <c r="E10" s="46" t="n">
        <v>110000</v>
      </c>
      <c r="F10" s="46" t="n">
        <v>88000</v>
      </c>
      <c r="G10" s="46" t="n">
        <v>120000</v>
      </c>
      <c r="H10" s="42" t="n"/>
    </row>
    <row r="11">
      <c r="A11" s="46" t="inlineStr">
        <is>
          <t>吳建志</t>
        </is>
      </c>
      <c r="B11" s="46" t="inlineStr">
        <is>
          <t>財務</t>
        </is>
      </c>
      <c r="C11" s="46" t="n">
        <v>52000</v>
      </c>
      <c r="D11" s="46" t="n">
        <v>0</v>
      </c>
      <c r="E11" s="46" t="n">
        <v>0</v>
      </c>
      <c r="F11" s="46" t="n">
        <v>0</v>
      </c>
      <c r="G11" s="46" t="n">
        <v>0</v>
      </c>
      <c r="H11" s="42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</row>
    <row r="14">
      <c r="A14" s="44" t="inlineStr">
        <is>
          <t>🎯 練習題</t>
        </is>
      </c>
      <c r="B14" s="42" t="n"/>
      <c r="C14" s="42" t="n"/>
      <c r="D14" s="42" t="n"/>
      <c r="E14" s="42" t="n"/>
      <c r="F14" s="42" t="n"/>
      <c r="G14" s="42" t="n"/>
      <c r="H14" s="42" t="n"/>
    </row>
    <row r="15">
      <c r="A15" s="47" t="inlineStr">
        <is>
          <t>難度</t>
        </is>
      </c>
      <c r="B15" s="47" t="inlineStr">
        <is>
          <t>題號</t>
        </is>
      </c>
      <c r="C15" s="47" t="inlineStr">
        <is>
          <t>任務描述</t>
        </is>
      </c>
      <c r="D15" s="47" t="inlineStr">
        <is>
          <t>你的答案 ▼</t>
        </is>
      </c>
      <c r="E15" s="47" t="inlineStr">
        <is>
          <t>結果</t>
        </is>
      </c>
      <c r="F15" s="47" t="inlineStr">
        <is>
          <t>提示（反白可見）</t>
        </is>
      </c>
      <c r="G15" s="42" t="n"/>
      <c r="H15" s="42" t="n"/>
    </row>
    <row r="16">
      <c r="A16" s="48" t="inlineStr">
        <is>
          <t>🟢</t>
        </is>
      </c>
      <c r="B16" s="46" t="n">
        <v>1</v>
      </c>
      <c r="C16" s="46" t="inlineStr">
        <is>
          <t>計算王小明的全年業績總和</t>
        </is>
      </c>
      <c r="D16" s="49" t="n"/>
      <c r="E16" s="46">
        <f>IF(D16="","",IF(ROUND(D16,2)=ROUND(H16,2),"✅ 正確！","❌ 再想想"))</f>
        <v/>
      </c>
      <c r="F16" s="50" t="inlineStr">
        <is>
          <t>SUM 橫向加總</t>
        </is>
      </c>
      <c r="G16" s="42" t="n"/>
      <c r="H16" s="35">
        <f>SUM(D6:G6)</f>
        <v/>
      </c>
    </row>
    <row r="17">
      <c r="A17" s="48" t="inlineStr">
        <is>
          <t>🟢</t>
        </is>
      </c>
      <c r="B17" s="46" t="n">
        <v>2</v>
      </c>
      <c r="C17" s="46" t="inlineStr">
        <is>
          <t>找出所有業務員中 Q1 業績最高者的名字</t>
        </is>
      </c>
      <c r="D17" s="49" t="n"/>
      <c r="E17" s="46">
        <f>IF(D17="","",IF(EXACT(TRIM(D17),TRIM(H17)),"✅ 正確！","❌ 再想想"))</f>
        <v/>
      </c>
      <c r="F17" s="50" t="inlineStr">
        <is>
          <t>INDEX+MATCH+MAX+IF 陣列公式</t>
        </is>
      </c>
      <c r="G17" s="42" t="n"/>
      <c r="H17" s="35">
        <f>INDEX(A6:A11,MATCH(MAX(IF(B6:B11="業務",D6:D11)),IF(B6:B11="業務",D6:D11),0))</f>
        <v/>
      </c>
    </row>
    <row r="18">
      <c r="A18" s="51" t="inlineStr">
        <is>
          <t>🔵</t>
        </is>
      </c>
      <c r="B18" s="46" t="n">
        <v>3</v>
      </c>
      <c r="C18" s="46" t="inlineStr">
        <is>
          <t>計算業務部全年業績平均（含Q1~Q4）</t>
        </is>
      </c>
      <c r="D18" s="49" t="n"/>
      <c r="E18" s="46">
        <f>IF(D18="","",IF(ROUND(D18,2)=ROUND(H18,2),"✅ 正確！","❌ 再想想"))</f>
        <v/>
      </c>
      <c r="F18" s="50" t="inlineStr">
        <is>
          <t>4個AVERAGEIFS相加或用SUMPRODUCT</t>
        </is>
      </c>
      <c r="G18" s="42" t="n"/>
      <c r="H18" s="35">
        <f>AVERAGEIFS(D6:D11,B6:B11,"業務")+AVERAGEIFS(E6:E11,B6:B11,"業務")+AVERAGEIFS(F6:F11,B6:B11,"業務")+AVERAGEIFS(G6:G11,B6:B11,"業務")</f>
        <v/>
      </c>
    </row>
    <row r="19">
      <c r="A19" s="51" t="inlineStr">
        <is>
          <t>🔵</t>
        </is>
      </c>
      <c r="B19" s="46" t="n">
        <v>4</v>
      </c>
      <c r="C19" s="46" t="inlineStr">
        <is>
          <t>用 RANK 計算王小明 Q1 業績在所有人中的排名</t>
        </is>
      </c>
      <c r="D19" s="49" t="n"/>
      <c r="E19" s="46">
        <f>IF(D19="","",IF(ROUND(D19,2)=ROUND(H19,2),"✅ 正確！","❌ 再想想"))</f>
        <v/>
      </c>
      <c r="F19" s="50" t="inlineStr">
        <is>
          <t>RANK(值,範圍)</t>
        </is>
      </c>
      <c r="G19" s="42" t="n"/>
      <c r="H19" s="35">
        <f>RANK(D6,D6:D11)</f>
        <v/>
      </c>
    </row>
    <row r="20">
      <c r="A20" s="52" t="inlineStr">
        <is>
          <t>🟡</t>
        </is>
      </c>
      <c r="B20" s="46" t="n">
        <v>5</v>
      </c>
      <c r="C20" s="46" t="inlineStr">
        <is>
          <t>計算有業績（Q1&gt;0）的人數</t>
        </is>
      </c>
      <c r="D20" s="49" t="n"/>
      <c r="E20" s="46">
        <f>IF(D20="","",IF(ROUND(D20,2)=ROUND(H20,2),"✅ 正確！","❌ 再想想"))</f>
        <v/>
      </c>
      <c r="F20" s="50" t="inlineStr">
        <is>
          <t>COUNTIF(範圍,"&gt;0")</t>
        </is>
      </c>
      <c r="G20" s="42" t="n"/>
      <c r="H20" s="35">
        <f>COUNTIF(D6:D11,"&gt;"&amp;0)</f>
        <v/>
      </c>
    </row>
    <row r="21">
      <c r="A21" s="52" t="inlineStr">
        <is>
          <t>🟡</t>
        </is>
      </c>
      <c r="B21" s="46" t="n">
        <v>6</v>
      </c>
      <c r="C21" s="46" t="inlineStr">
        <is>
          <t>計算業務部平均月薪與全公司平均月薪的差額</t>
        </is>
      </c>
      <c r="D21" s="49" t="n"/>
      <c r="E21" s="46">
        <f>IF(D21="","",IF(ROUND(D21,2)=ROUND(H21,2),"✅ 正確！","❌ 再想想"))</f>
        <v/>
      </c>
      <c r="F21" s="50" t="inlineStr">
        <is>
          <t>AVERAGEIF - AVERAGE</t>
        </is>
      </c>
      <c r="G21" s="42" t="n"/>
      <c r="H21" s="35">
        <f>AVERAGEIF(B6:B11,"業務",C6:C11)-AVERAGE(C6:C11)</f>
        <v/>
      </c>
    </row>
    <row r="22">
      <c r="A22" s="53" t="inlineStr">
        <is>
          <t>🔴</t>
        </is>
      </c>
      <c r="B22" s="46" t="n">
        <v>7</v>
      </c>
      <c r="C22" s="46" t="inlineStr">
        <is>
          <t>用 IF+MAX 找出王小明最佳季度業績</t>
        </is>
      </c>
      <c r="D22" s="49" t="n"/>
      <c r="E22" s="46">
        <f>IF(D22="","",IF(ROUND(D22,2)=ROUND(H22,2),"✅ 正確！","❌ 再想想"))</f>
        <v/>
      </c>
      <c r="F22" s="50" t="inlineStr">
        <is>
          <t>MAX 橫向取最大值</t>
        </is>
      </c>
      <c r="G22" s="42" t="n"/>
      <c r="H22" s="35">
        <f>MAX(D6:G6)</f>
        <v/>
      </c>
    </row>
    <row r="23">
      <c r="A23" s="53" t="inlineStr">
        <is>
          <t>🔴</t>
        </is>
      </c>
      <c r="B23" s="46" t="n">
        <v>8</v>
      </c>
      <c r="C23" s="46" t="inlineStr">
        <is>
          <t>計算全公司薪資的標準差</t>
        </is>
      </c>
      <c r="D23" s="49" t="n"/>
      <c r="E23" s="46">
        <f>IF(D23="","",IF(ROUND(D23,2)=ROUND(H23,2),"✅ 正確！","❌ 再想想"))</f>
        <v/>
      </c>
      <c r="F23" s="50" t="inlineStr">
        <is>
          <t>STDEV(範圍) 樣本標準差</t>
        </is>
      </c>
      <c r="G23" s="42" t="n"/>
      <c r="H23" s="35">
        <f>STDEV(C6:C11)</f>
        <v/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>
      <c r="A25" s="42" t="n"/>
      <c r="B25" s="42" t="n"/>
      <c r="C25" s="54" t="inlineStr">
        <is>
          <t>得分：</t>
        </is>
      </c>
      <c r="D25" s="55">
        <f>COUNTIF(E17:E24,"✅ 正確！") &amp; " / 8 正確"</f>
        <v/>
      </c>
      <c r="E25" s="42" t="n"/>
      <c r="F25" s="42" t="n"/>
      <c r="G25" s="42" t="n"/>
      <c r="H25" s="42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</sheetData>
  <mergeCells count="4">
    <mergeCell ref="A2:F2"/>
    <mergeCell ref="A14:F14"/>
    <mergeCell ref="A1:F1"/>
    <mergeCell ref="A4:G4"/>
  </mergeCells>
  <conditionalFormatting sqref="D16">
    <cfRule type="expression" priority="1" dxfId="0">
      <formula>AND(D16&lt;&gt;"",ROUND(D16,2)=ROUND(H16,2))</formula>
    </cfRule>
  </conditionalFormatting>
  <conditionalFormatting sqref="D17">
    <cfRule type="expression" priority="2" dxfId="0">
      <formula>AND(D17&lt;&gt;"",EXACT(TRIM(D17),TRIM(H17)))</formula>
    </cfRule>
  </conditionalFormatting>
  <conditionalFormatting sqref="D18">
    <cfRule type="expression" priority="3" dxfId="0">
      <formula>AND(D18&lt;&gt;"",ROUND(D18,2)=ROUND(H18,2))</formula>
    </cfRule>
  </conditionalFormatting>
  <conditionalFormatting sqref="D19">
    <cfRule type="expression" priority="4" dxfId="0">
      <formula>AND(D19&lt;&gt;"",ROUND(D19,2)=ROUND(H19,2))</formula>
    </cfRule>
  </conditionalFormatting>
  <conditionalFormatting sqref="D20">
    <cfRule type="expression" priority="5" dxfId="0">
      <formula>AND(D20&lt;&gt;"",ROUND(D20,2)=ROUND(H20,2))</formula>
    </cfRule>
  </conditionalFormatting>
  <conditionalFormatting sqref="D21">
    <cfRule type="expression" priority="6" dxfId="0">
      <formula>AND(D21&lt;&gt;"",ROUND(D21,2)=ROUND(H21,2))</formula>
    </cfRule>
  </conditionalFormatting>
  <conditionalFormatting sqref="D22">
    <cfRule type="expression" priority="7" dxfId="0">
      <formula>AND(D22&lt;&gt;"",ROUND(D22,2)=ROUND(H22,2))</formula>
    </cfRule>
  </conditionalFormatting>
  <conditionalFormatting sqref="D23">
    <cfRule type="expression" priority="8" dxfId="0">
      <formula>AND(D23&lt;&gt;"",ROUND(D23,2)=ROUND(H23,2))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2026-04-01T12:50:36Z</dcterms:created>
  <dcterms:modified xmlns:dcterms="http://purl.org/dc/terms/" xmlns:xsi="http://www.w3.org/2001/XMLSchema-instance" xsi:type="dcterms:W3CDTF">2026-04-01T14:32:08Z</dcterms:modified>
</cp:coreProperties>
</file>