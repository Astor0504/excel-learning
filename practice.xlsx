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0fc075f46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🎯 儀表板" sheetId="1" r:id="Rb0ed178da0d947eb"/>
    <x:sheet xmlns:r="http://schemas.openxmlformats.org/officeDocument/2006/relationships" name="P1-02 📊 基礎函式" sheetId="2" r:id="Rbd871081e57b40cb"/>
    <x:sheet xmlns:r="http://schemas.openxmlformats.org/officeDocument/2006/relationships" name="P1-03 📐 條件判斷" sheetId="3" r:id="Re4959ac3d2004874"/>
    <x:sheet xmlns:r="http://schemas.openxmlformats.org/officeDocument/2006/relationships" name="P2-01 📈 條件統計" sheetId="4" r:id="Rff5c71e2cca14797"/>
    <x:sheet xmlns:r="http://schemas.openxmlformats.org/officeDocument/2006/relationships" name="P2-02 🔍 查找比對" sheetId="5" r:id="R8ed1309a84294601"/>
    <x:sheet xmlns:r="http://schemas.openxmlformats.org/officeDocument/2006/relationships" name="P2-03 📊 樞紐分析表" sheetId="6" r:id="R2be2a6d67d394e57"/>
    <x:sheet xmlns:r="http://schemas.openxmlformats.org/officeDocument/2006/relationships" name="P2-04 🎨 條件式格式化" sheetId="7" r:id="Rc909f39d7c5546ee"/>
    <x:sheet xmlns:r="http://schemas.openxmlformats.org/officeDocument/2006/relationships" name="P3-01 ✅ 資料驗證" sheetId="8" r:id="R47a9aab4fa754240"/>
    <x:sheet xmlns:r="http://schemas.openxmlformats.org/officeDocument/2006/relationships" name="P3-02 ✂️ 文字與日期" sheetId="9" r:id="R26933c7d22a848f5"/>
    <x:sheet xmlns:r="http://schemas.openxmlformats.org/officeDocument/2006/relationships" name="P3-03 📈 圖表設計" sheetId="10" r:id="Rc681f97c21b1452a"/>
    <x:sheet xmlns:r="http://schemas.openxmlformats.org/officeDocument/2006/relationships" name="P3-04 🔗 命名範圍" sheetId="11" r:id="R9b0217d0acf741e6"/>
    <x:sheet xmlns:r="http://schemas.openxmlformats.org/officeDocument/2006/relationships" name="P3-05 🛡️ 保護與安全" sheetId="12" r:id="Rd595338c51224379"/>
    <x:sheet xmlns:r="http://schemas.openxmlformats.org/officeDocument/2006/relationships" name="P4-01 🔢 陣列與動態" sheetId="13" r:id="R50277fa5fbe0420c"/>
    <x:sheet xmlns:r="http://schemas.openxmlformats.org/officeDocument/2006/relationships" name="P4-02 🧮 進階函式" sheetId="14" r:id="R3a1e2520ada541f8"/>
    <x:sheet xmlns:r="http://schemas.openxmlformats.org/officeDocument/2006/relationships" name="P4-03 🧩 假設分析" sheetId="15" r:id="Re9074ca1de274adb"/>
    <x:sheet xmlns:r="http://schemas.openxmlformats.org/officeDocument/2006/relationships" name="P4-04 ⚡ Power Query" sheetId="16" r:id="Ra988a41625ab445b"/>
    <x:sheet xmlns:r="http://schemas.openxmlformats.org/officeDocument/2006/relationships" name="P5-01 ⚙️ VBA 基礎" sheetId="17" r:id="R5ed5243e354e4245"/>
    <x:sheet xmlns:r="http://schemas.openxmlformats.org/officeDocument/2006/relationships" name="P5-02 🔧 VBA 進階" sheetId="18" r:id="Rdd000e811f994254"/>
    <x:sheet xmlns:r="http://schemas.openxmlformats.org/officeDocument/2006/relationships" name="P5-03 🏗️ VBA 實戰" sheetId="19" r:id="R3988b0bc33d04738"/>
    <x:sheet xmlns:r="http://schemas.openxmlformats.org/officeDocument/2006/relationships" name="P5-04 🏆 綜合挑戰" sheetId="20" r:id="R43e27222cd064651"/>
    <x:sheet xmlns:r="http://schemas.openxmlformats.org/officeDocument/2006/relationships" name="P1-01 ⌨️ 鍵盤操作" sheetId="21" r:id="R6574307ec82b4da7"/>
    <x:sheet xmlns:r="http://schemas.openxmlformats.org/officeDocument/2006/relationships" name="P4-05 🔗 資料模型" sheetId="22" r:id="R6f707e6b6cb5456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_-&quot;NT$&quot;* #,##0.00_-;\-&quot;NT$&quot;* #,##0.00_-;_-&quot;NT$&quot;* &quot;-&quot;??_-;_-@_-"/>
    <x:numFmt numFmtId="165" formatCode="_-&quot;NT$&quot;* #,##0_-;\-&quot;NT$&quot;* #,##0_-;_-&quot;NT$&quot;* &quot;-&quot;_-;_-@_-"/>
    <x:numFmt numFmtId="200" formatCode="#,##0"/>
  </x:numFmts>
  <x:fonts count="117">
    <x:font>
      <x:sz val="11"/>
      <x:color theme="1"/>
      <x:name val="Calibri"/>
    </x:font>
    <x:font>
      <x:b/>
      <x:sz val="13"/>
      <x:color rgb="833C0C"/>
      <x:name val="DejaVu Sans"/>
    </x:font>
    <x:font>
      <x:i/>
      <x:sz val="10"/>
      <x:color rgb="666666"/>
      <x:name val="DejaVu Sans"/>
    </x:font>
    <x:font>
      <x:b/>
      <x:sz val="10"/>
      <x:color rgb="1F3864"/>
      <x:name val="DejaVu Sans"/>
    </x:font>
    <x:font>
      <x:b/>
      <x:sz val="10"/>
      <x:name val="DejaVu Sans"/>
    </x:font>
    <x:font>
      <x:sz val="10"/>
      <x:name val="DejaVu Sans"/>
    </x:font>
    <x:font>
      <x:sz val="9"/>
      <x:color rgb="4A3580"/>
      <x:name val="DejaVu Sans"/>
    </x:font>
    <x:font>
      <x:b/>
      <x:sz val="10"/>
      <x:name val="Arial"/>
    </x:font>
    <x:font>
      <x:b/>
      <x:sz val="13"/>
      <x:color rgb="60A5FA"/>
      <x:name val="Arial"/>
    </x:font>
    <x:font>
      <x:b/>
      <x:sz val="10"/>
      <x:color rgb="FFFFFF"/>
      <x:name val="Arial"/>
    </x:font>
    <x:font>
      <x:b/>
      <x:sz val="10"/>
      <x:color rgb="E2E8F0"/>
      <x:name val="Arial"/>
    </x:font>
    <x:font>
      <x:sz val="14"/>
      <x:color rgb="E2E8F0"/>
      <x:name val="Arial"/>
    </x:font>
    <x:font>
      <x:b/>
      <x:sz val="9"/>
      <x:color rgb="E2E8F0"/>
      <x:name val="Arial"/>
    </x:font>
    <x:font>
      <x:sz val="10"/>
      <x:color rgb="E2E8F0"/>
      <x:name val="Arial"/>
    </x:font>
    <x:font>
      <x:b/>
      <x:sz val="13"/>
      <x:color rgb="1F4E79"/>
      <x:name val="DejaVu Sans"/>
    </x:font>
    <x:font>
      <x:sz val="10"/>
      <x:name val="Arial"/>
    </x:font>
    <x:font>
      <x:b/>
      <x:sz val="13"/>
      <x:color rgb="833C0C"/>
      <x:name val="Arial"/>
    </x:font>
    <x:font>
      <x:sz val="9"/>
      <x:color rgb="4A3580"/>
      <x:name val="Arial"/>
    </x:font>
    <x:font>
      <x:b/>
      <x:sz val="13"/>
      <x:color rgb="7F6000"/>
      <x:name val="DejaVu Sans"/>
    </x:font>
    <x:font>
      <x:sz val="10"/>
      <x:name val="DejaVu Sans"/>
    </x:font>
    <x:font>
      <x:sz val="9"/>
      <x:color rgb="4A3580"/>
      <x:name val="DejaVu Sans"/>
    </x:font>
    <x:font>
      <x:b/>
      <x:sz val="13"/>
      <x:color rgb="990000"/>
      <x:name val="DejaVu Sans"/>
    </x:font>
    <x:font>
      <x:b/>
      <x:sz val="9"/>
      <x:color rgb="FFFFFF"/>
      <x:name val="DejaVu Sans"/>
    </x:font>
    <x:font>
      <x:b/>
      <x:sz val="9"/>
      <x:color rgb="FFFFFF"/>
      <x:name val="Arial"/>
    </x:font>
    <x:font>
      <x:b/>
      <x:sz val="10"/>
      <x:color rgb="990000"/>
      <x:name val="Arial"/>
    </x:font>
    <x:font>
      <x:sz val="10"/>
      <x:color rgb="E2E8F0"/>
      <x:name val="DejaVu Sans"/>
    </x:font>
    <x:font>
      <x:i/>
      <x:sz val="9"/>
      <x:color rgb="7F6000"/>
      <x:name val="Arial"/>
    </x:font>
    <x:font>
      <x:sz val="10"/>
      <x:color rgb="1A5C1A"/>
      <x:name val="Arial"/>
    </x:font>
    <x:font>
      <x:i/>
      <x:sz val="9"/>
      <x:color rgb="7F6000"/>
      <x:name val="DejaVu Sans"/>
    </x:font>
    <x:font>
      <x:b/>
      <x:sz val="13"/>
      <x:color rgb="990000"/>
      <x:name val="Arial"/>
    </x:font>
    <x:font>
      <x:b/>
      <x:sz val="9"/>
      <x:color rgb="990000"/>
      <x:name val="Arial"/>
    </x:font>
    <x:font>
      <x:sz val="10"/>
      <x:color rgb="D4D4D4"/>
      <x:name val="Courier New"/>
    </x:font>
    <x:font>
      <x:b/>
      <x:sz val="13"/>
      <x:color rgb="7F6000"/>
      <x:name val="Arial"/>
    </x:font>
    <x:font>
      <x:sz val="10"/>
      <x:color rgb="1A5C1A"/>
      <x:name val="DejaVu Sans"/>
    </x:font>
    <x:font>
      <x:b/>
      <x:sz val="13"/>
      <x:color rgb="006100"/>
      <x:name val="DejaVu Sans"/>
    </x:font>
    <x:font>
      <x:b/>
      <x:sz val="13"/>
      <x:color rgb="006100"/>
      <x:name val="Arial"/>
    </x:font>
    <x:font>
      <x:i/>
      <x:sz val="10"/>
      <x:color rgb="666666"/>
      <x:name val="Arial"/>
    </x:font>
    <x:font>
      <x:b/>
      <x:sz val="10"/>
      <x:name val="Arial"/>
    </x:font>
    <x:font>
      <x:b/>
      <x:sz val="10"/>
      <x:color rgb="1F3864"/>
      <x:name val="Arial"/>
    </x:font>
    <x:font>
      <x:b/>
      <x:sz val="9"/>
      <x:color rgb="FFFFFF"/>
      <x:name val="Arial"/>
    </x:font>
    <x:font>
      <x:sz val="10"/>
      <x:name val="Arial"/>
    </x:font>
    <x:font>
      <x:sz val="9"/>
      <x:color rgb="4A3580"/>
      <x:name val="Arial"/>
    </x:font>
    <x:font>
      <x:b/>
      <x:sz val="14"/>
      <x:color rgb="FFFFFF"/>
      <x:name val="Arial"/>
    </x:font>
    <x:font>
      <x:i/>
      <x:sz val="10"/>
      <x:name val="Arial"/>
    </x:font>
    <x:font>
      <x:b/>
      <x:sz val="11"/>
      <x:color rgb="4ADE80"/>
      <x:name val="Arial"/>
    </x:font>
    <x:font>
      <x:b/>
      <x:sz val="11"/>
      <x:color rgb="FBBF24"/>
      <x:name val="Arial"/>
    </x:font>
    <x:font>
      <x:b/>
      <x:sz val="11"/>
      <x:color rgb="A78BFA"/>
      <x:name val="Arial"/>
    </x:font>
    <x:font>
      <x:b/>
      <x:sz val="10"/>
      <x:color rgb="A78BFA"/>
      <x:name val="Arial"/>
    </x:font>
    <x:font>
      <x:b/>
      <x:sz val="14"/>
      <x:color rgb="60A5FA"/>
      <x:name val="Arial"/>
    </x:font>
    <x:font>
      <x:i/>
      <x:sz val="9"/>
      <x:color rgb="94A3B8"/>
      <x:name val="Arial"/>
    </x:font>
    <x:font>
      <x:sz val="9"/>
      <x:color rgb="94A3B8"/>
      <x:name val="Arial"/>
    </x:font>
    <x:font>
      <x:b/>
      <x:sz val="16"/>
      <x:color rgb="FFFFFF"/>
      <x:name val="Arial"/>
    </x:font>
    <x:font>
      <x:i/>
      <x:sz val="10"/>
      <x:color rgb="666666"/>
      <x:name val="Arial"/>
    </x:font>
    <x:font>
      <x:b/>
      <x:sz val="10"/>
      <x:color rgb="006100"/>
      <x:name val="Arial"/>
    </x:font>
    <x:font>
      <x:b/>
      <x:sz val="10"/>
      <x:color rgb="1F4E79"/>
      <x:name val="Arial"/>
    </x:font>
    <x:font>
      <x:b/>
      <x:sz val="10"/>
      <x:color rgb="7F6000"/>
      <x:name val="Arial"/>
    </x:font>
    <x:font>
      <x:b/>
      <x:sz val="10"/>
      <x:color rgb="833C0C"/>
      <x:name val="Arial"/>
    </x:font>
    <x:font>
      <x:b/>
      <x:sz val="12"/>
      <x:color rgb="60A5FA"/>
      <x:name val="Arial"/>
    </x:font>
    <x:font>
      <x:b/>
      <x:sz val="11"/>
      <x:color rgb="60A5FA"/>
      <x:name val="Arial"/>
    </x:font>
    <x:font>
      <x:b/>
      <x:sz val="11"/>
      <x:color rgb="FB923C"/>
      <x:name val="Arial"/>
    </x:font>
    <x:font>
      <x:b/>
      <x:sz val="11"/>
      <x:color rgb="F87171"/>
      <x:name val="Arial"/>
    </x:font>
    <x:font>
      <x:sz val="11"/>
      <x:name val="Calibri"/>
    </x:font>
    <x:font>
      <x:b/>
      <x:sz val="12"/>
      <x:color rgb="FBBF24"/>
      <x:name val="Arial"/>
    </x:font>
    <x:font>
      <x:sz val="11"/>
      <x:name val="Arial"/>
    </x:font>
    <x:font>
      <x:sz val="14"/>
      <x:name val="Arial"/>
    </x:font>
    <x:font>
      <x:b/>
      <x:sz val="12"/>
      <x:color rgb="A78BFA"/>
      <x:name val="Arial"/>
    </x:font>
    <x:font>
      <x:b/>
      <x:sz val="12"/>
      <x:color rgb="4ADE80"/>
      <x:name val="Arial"/>
    </x:font>
    <x:font>
      <x:sz val="11"/>
      <x:color rgb="0000FF"/>
      <x:name val="Calibri"/>
    </x:font>
    <x:font>
      <x:sz val="11"/>
      <x:color rgb="800080"/>
      <x:name val="Calibri"/>
    </x:font>
    <x:font>
      <x:sz val="12"/>
      <x:color theme="1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6"/>
      <x:color rgb="60A5FA"/>
      <x:name val="Arial"/>
    </x:font>
    <x:font>
      <x:i/>
      <x:sz val="10"/>
      <x:color rgb="94A3B8"/>
      <x:name val="Arial"/>
    </x:font>
    <x:font>
      <x:b/>
      <x:sz val="11"/>
      <x:color rgb="E2E8F0"/>
      <x:name val="Arial"/>
    </x:font>
    <x:font>
      <x:sz val="11"/>
      <x:color theme="1"/>
      <x:name val="Calibri"/>
    </x:font>
    <x:font>
      <x:b/>
      <x:sz val="10"/>
      <x:color rgb="FFFFFF"/>
      <x:name val="Arial"/>
    </x:font>
    <x:font>
      <x:sz val="10"/>
      <x:color rgb="E2E8F0"/>
      <x:name val="Arial"/>
    </x:font>
    <x:font>
      <x:b/>
      <x:sz val="11"/>
      <x:color rgb="60A5FA"/>
      <x:name val="Arial"/>
    </x:font>
    <x:font>
      <x:b/>
      <x:sz val="10"/>
      <x:color rgb="E2E8F0"/>
      <x:name val="Arial"/>
    </x:font>
    <x:font>
      <x:sz val="10"/>
      <x:name val="Arial"/>
    </x:font>
    <x:font>
      <x:sz val="11"/>
      <x:color rgb="FBBF24"/>
      <x:name val="Courier New"/>
    </x:font>
    <x:font>
      <x:sz val="9"/>
      <x:color rgb="1E293B"/>
      <x:name val="Arial"/>
    </x:font>
    <x:font>
      <x:sz val="10"/>
      <x:color rgb="0F172A"/>
      <x:name val="Courier New"/>
    </x:font>
    <x:font>
      <x:b/>
      <x:sz val="12"/>
      <x:color rgb="E2E8F0"/>
      <x:name val="Arial"/>
    </x:font>
    <x:font>
      <x:b/>
      <x:sz val="14"/>
      <x:color rgb="4ADE80"/>
      <x:name val="Arial"/>
    </x:font>
    <x:font>
      <x:color rgb="0F172A"/>
    </x:font>
    <x:font>
      <x:b/>
      <x:sz val="14"/>
      <x:color rgb="E2E8F0"/>
    </x:font>
    <x:font>
      <x:sz val="10"/>
      <x:color rgb="94A3B8"/>
    </x:font>
    <x:font>
      <x:b/>
      <x:sz val="11"/>
      <x:color rgb="E2E8F0"/>
    </x:font>
    <x:font>
      <x:b/>
      <x:sz val="11"/>
      <x:color rgb="FFFFFF"/>
    </x:font>
    <x:font>
      <x:sz val="11"/>
      <x:color rgb="E2E8F0"/>
    </x:font>
    <x:font>
      <x:sz val="11"/>
      <x:color rgb="4ADE80"/>
    </x:font>
    <x:font>
      <x:sz val="11"/>
      <x:color rgb="FBBF24"/>
    </x:font>
    <x:font>
      <x:sz val="10"/>
      <x:color rgb="1A1A2E"/>
    </x:font>
    <x:font>
      <x:sz val="11"/>
      <x:color rgb="60A5FA"/>
    </x:font>
    <x:font>
      <x:sz val="11"/>
      <x:color rgb="F87171"/>
    </x:font>
    <x:font>
      <x:b/>
      <x:sz val="12"/>
      <x:color rgb="4ADE80"/>
    </x:font>
    <x:font>
      <x:b/>
      <x:sz val="16"/>
      <x:color theme="1"/>
      <x:name val="Calibri"/>
    </x:font>
    <x:font>
      <x:b/>
      <x:sz val="16"/>
      <x:color rgb="2A3A2A"/>
      <x:name val="Calibri"/>
    </x:font>
    <x:font>
      <x:sz val="11"/>
      <x:color rgb="6D665D"/>
      <x:name val="Calibri"/>
    </x:font>
    <x:font>
      <x:b/>
      <x:sz val="11"/>
      <x:color rgb="5C7EA7"/>
      <x:name val="Calibri"/>
    </x:font>
  </x:fonts>
  <x:fills count="79">
    <x:fill>
      <x:patternFill patternType="none"/>
    </x:fill>
    <x:fill>
      <x:patternFill patternType="gray125"/>
    </x:fill>
    <x:fill>
      <x:patternFill patternType="solid">
        <x:fgColor rgb="FCE4D6"/>
      </x:patternFill>
    </x:fill>
    <x:fill>
      <x:patternFill patternType="solid">
        <x:fgColor rgb="D6E4F7"/>
      </x:patternFill>
    </x:fill>
    <x:fill>
      <x:patternFill patternType="solid">
        <x:fgColor rgb="E8EEF7"/>
      </x:patternFill>
    </x:fill>
    <x:fill>
      <x:patternFill patternType="solid">
        <x:fgColor rgb="F0E6FF"/>
      </x:patternFill>
    </x:fill>
    <x:fill>
      <x:patternFill patternType="solid">
        <x:fgColor rgb="0F172A"/>
      </x:patternFill>
    </x:fill>
    <x:fill>
      <x:patternFill patternType="solid">
        <x:fgColor rgb="334155"/>
      </x:patternFill>
    </x:fill>
    <x:fill>
      <x:patternFill patternType="solid">
        <x:fgColor rgb="052E16"/>
      </x:patternFill>
    </x:fill>
    <x:fill>
      <x:patternFill patternType="solid">
        <x:fgColor rgb="0C1E3A"/>
      </x:patternFill>
    </x:fill>
    <x:fill>
      <x:patternFill patternType="solid">
        <x:fgColor rgb="2D2006"/>
      </x:patternFill>
    </x:fill>
    <x:fill>
      <x:patternFill patternType="solid">
        <x:fgColor rgb="2D0A0A"/>
      </x:patternFill>
    </x:fill>
    <x:fill>
      <x:patternFill patternType="solid">
        <x:fgColor rgb="DDEBF7"/>
      </x:patternFill>
    </x:fill>
    <x:fill>
      <x:patternFill patternType="solid">
        <x:fgColor rgb="FFF2CC"/>
      </x:patternFill>
    </x:fill>
    <x:fill>
      <x:patternFill patternType="solid">
        <x:fgColor rgb="F4CCCC"/>
      </x:patternFill>
    </x:fill>
    <x:fill>
      <x:patternFill patternType="solid">
        <x:fgColor rgb="1F3864"/>
      </x:patternFill>
    </x:fill>
    <x:fill>
      <x:patternFill patternType="solid">
        <x:fgColor rgb="F5F8FC"/>
      </x:patternFill>
    </x:fill>
    <x:fill>
      <x:patternFill patternType="solid">
        <x:fgColor rgb="FCE4D6"/>
      </x:patternFill>
    </x:fill>
    <x:fill>
      <x:patternFill patternType="solid">
        <x:fgColor rgb="1E1E1E"/>
      </x:patternFill>
    </x:fill>
    <x:fill>
      <x:patternFill patternType="solid">
        <x:fgColor rgb="C6EFCE"/>
      </x:patternFill>
    </x:fill>
    <x:fill>
      <x:patternFill patternType="solid">
        <x:fgColor rgb="C6EFCE"/>
      </x:patternFill>
    </x:fill>
    <x:fill>
      <x:patternFill patternType="solid">
        <x:fgColor rgb="FFF2CC"/>
      </x:patternFill>
    </x:fill>
    <x:fill>
      <x:patternFill patternType="solid">
        <x:fgColor rgb="D6E4F7"/>
      </x:patternFill>
    </x:fill>
    <x:fill>
      <x:patternFill patternType="solid">
        <x:fgColor rgb="1F3864"/>
      </x:patternFill>
    </x:fill>
    <x:fill>
      <x:patternFill patternType="solid">
        <x:fgColor rgb="E8EEF7"/>
      </x:patternFill>
    </x:fill>
    <x:fill>
      <x:patternFill patternType="solid">
        <x:fgColor rgb="F0E6FF"/>
      </x:patternFill>
    </x:fill>
    <x:fill>
      <x:patternFill patternType="solid">
        <x:fgColor rgb="1A1A2E"/>
      </x:patternFill>
    </x:fill>
    <x:fill>
      <x:patternFill patternType="solid">
        <x:fgColor rgb="1E1040"/>
      </x:patternFill>
    </x:fill>
    <x:fill>
      <x:patternFill patternType="solid">
        <x:fgColor rgb="1A4731"/>
      </x:patternFill>
    </x:fill>
    <x:fill>
      <x:patternFill patternType="solid">
        <x:fgColor rgb="1E3A5F"/>
      </x:patternFill>
    </x:fill>
    <x:fill>
      <x:patternFill patternType="solid">
        <x:fgColor rgb="3D2E06"/>
      </x:patternFill>
    </x:fill>
    <x:fill>
      <x:patternFill patternType="solid">
        <x:fgColor rgb="3D1A06"/>
      </x:patternFill>
    </x:fill>
    <x:fill>
      <x:patternFill patternType="solid">
        <x:fgColor rgb="2D1A06"/>
      </x:patternFill>
    </x:fill>
    <x:fill>
      <x:patternFill patternType="solid">
        <x:fgColor rgb="3D0A0A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334155"/>
      </x:patternFill>
    </x:fill>
    <x:fill>
      <x:patternFill patternType="solid">
        <x:fgColor rgb="052E16"/>
      </x:patternFill>
    </x:fill>
    <x:fill>
      <x:patternFill patternType="solid">
        <x:fgColor rgb="2D2A1A"/>
      </x:patternFill>
    </x:fill>
    <x:fill>
      <x:patternFill patternType="solid">
        <x:fgColor rgb="0C1E3A"/>
      </x:patternFill>
    </x:fill>
    <x:fill>
      <x:patternFill patternType="solid">
        <x:fgColor rgb="2D2006"/>
      </x:patternFill>
    </x:fill>
    <x:fill>
      <x:patternFill patternType="solid">
        <x:fgColor rgb="2D0A0A"/>
      </x:patternFill>
    </x:fill>
    <x:fill>
      <x:patternFill patternType="solid">
        <x:fgColor rgb="1A1A2E"/>
      </x:patternFill>
    </x:fill>
    <x:fill>
      <x:patternFill patternType="solid">
        <x:fgColor rgb="E6EFE2"/>
      </x:patternFill>
    </x:fill>
    <x:fill>
      <x:patternFill patternType="solid">
        <x:fgColor rgb="F6F1E6"/>
      </x:patternFill>
    </x:fill>
    <x:fill>
      <x:patternFill patternType="solid">
        <x:fgColor rgb="DCE9F6"/>
      </x:patternFill>
    </x:fill>
    <x:fill>
      <x:patternFill patternType="solid">
        <x:fgColor rgb="F6E7CF"/>
      </x:patternFill>
    </x:fill>
    <x:fill>
      <x:patternFill patternType="solid">
        <x:fgColor rgb="EFE6F5"/>
      </x:patternFill>
    </x:fill>
  </x:fills>
  <x:borders count="35">
    <x:border/>
    <x:border>
      <x:left style="thin">
        <x:color rgb="B0B0B0"/>
      </x:left>
      <x:right style="thin">
        <x:color rgb="B0B0B0"/>
      </x:right>
      <x:top style="thin">
        <x:color rgb="B0B0B0"/>
      </x:top>
      <x:bottom style="thin">
        <x:color rgb="B0B0B0"/>
      </x:bottom>
    </x:border>
    <x:border>
      <x:top style="thin">
        <x:color rgb="B0B0B0"/>
      </x:top>
      <x:bottom style="thin">
        <x:color rgb="B0B0B0"/>
      </x:bottom>
    </x:border>
    <x:border>
      <x:right style="thin">
        <x:color rgb="B0B0B0"/>
      </x:right>
      <x:top style="thin">
        <x:color rgb="B0B0B0"/>
      </x:top>
      <x:bottom style="thin">
        <x:color rgb="B0B0B0"/>
      </x:bottom>
    </x:border>
    <x:border>
      <x:left style="thin">
        <x:color rgb="475569"/>
      </x:left>
      <x:right style="thin">
        <x:color rgb="475569"/>
      </x:right>
      <x:top style="thin">
        <x:color rgb="475569"/>
      </x:top>
      <x:bottom style="thin">
        <x:color rgb="475569"/>
      </x:bottom>
    </x:border>
    <x:border>
      <x:top style="thin">
        <x:color rgb="475569"/>
      </x:top>
      <x:bottom style="thin">
        <x:color rgb="475569"/>
      </x:bottom>
    </x:border>
    <x:border>
      <x:right style="thin">
        <x:color rgb="475569"/>
      </x:right>
      <x:top style="thin">
        <x:color rgb="475569"/>
      </x:top>
      <x:bottom style="thin">
        <x:color rgb="475569"/>
      </x:bottom>
    </x:border>
    <x:border>
      <x:left style="thin">
        <x:color rgb="B0B0B0"/>
      </x:left>
      <x:top style="thin">
        <x:color rgb="B0B0B0"/>
      </x:top>
      <x:bottom style="thin">
        <x:color rgb="B0B0B0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>
      <x:top style="thin">
        <x:color rgb="B0B0B0"/>
      </x:top>
    </x:border>
    <x:border>
      <x:top style="thin">
        <x:color rgb="475569"/>
      </x:top>
    </x:border>
    <x:border>
      <x:right style="thin">
        <x:color rgb="475569"/>
      </x:right>
      <x:top style="thin">
        <x:color rgb="475569"/>
      </x:top>
    </x:border>
    <x:border>
      <x:right style="thin">
        <x:color rgb="B0B0B0"/>
      </x:right>
      <x:top style="thin">
        <x:color rgb="B0B0B0"/>
      </x:top>
    </x:border>
    <x:border>
      <x:left style="thin">
        <x:color rgb="475569"/>
      </x:left>
      <x:right style="thin">
        <x:color rgb="475569"/>
      </x:right>
      <x:top style="thin">
        <x:color rgb="475569"/>
      </x:top>
      <x:bottom style="thin">
        <x:color rgb="475569"/>
      </x:bottom>
    </x:border>
    <x:border>
      <x:top style="thin">
        <x:color rgb="475569"/>
      </x:top>
      <x:bottom style="thin">
        <x:color rgb="475569"/>
      </x:bottom>
    </x:border>
    <x:border>
      <x:right style="thin">
        <x:color rgb="475569"/>
      </x:right>
      <x:top style="thin">
        <x:color rgb="475569"/>
      </x:top>
      <x:bottom style="thin">
        <x:color rgb="475569"/>
      </x:bottom>
    </x:border>
    <x:border>
      <x:left style="thin">
        <x:color rgb="FBBF24"/>
      </x:left>
      <x:right style="thin">
        <x:color rgb="FBBF24"/>
      </x:right>
      <x:top style="thin">
        <x:color rgb="FBBF24"/>
      </x:top>
      <x:bottom style="thin">
        <x:color rgb="FBBF24"/>
      </x:bottom>
    </x:border>
    <x:border>
      <x:top style="thin">
        <x:color rgb="475569"/>
      </x:top>
    </x:border>
    <x:border>
      <x:right style="thin">
        <x:color rgb="475569"/>
      </x:right>
      <x:top style="thin">
        <x:color rgb="475569"/>
      </x:top>
    </x:border>
    <x:border/>
    <x:border>
      <x:left style="thin">
        <x:color rgb="B0B0B0"/>
      </x:left>
      <x:right style="thin">
        <x:color rgb="B0B0B0"/>
      </x:right>
      <x:top style="thin">
        <x:color rgb="B0B0B0"/>
      </x:top>
      <x:bottom style="thin">
        <x:color rgb="B0B0B0"/>
      </x:bottom>
    </x:border>
    <x:border>
      <x:top style="thin">
        <x:color rgb="B0B0B0"/>
      </x:top>
      <x:bottom style="thin">
        <x:color rgb="B0B0B0"/>
      </x:bottom>
    </x:border>
    <x:border>
      <x:right style="thin">
        <x:color rgb="B0B0B0"/>
      </x:right>
      <x:top style="thin">
        <x:color rgb="B0B0B0"/>
      </x:top>
      <x:bottom style="thin">
        <x:color rgb="B0B0B0"/>
      </x:bottom>
    </x:border>
    <x:border>
      <x:top style="thin">
        <x:color rgb="475569"/>
      </x:top>
      <x:bottom style="thin">
        <x:color rgb="475569"/>
      </x:bottom>
    </x:border>
    <x:border>
      <x:right style="thin">
        <x:color rgb="475569"/>
      </x:right>
      <x:top style="thin">
        <x:color rgb="475569"/>
      </x:top>
      <x:bottom style="thin">
        <x:color rgb="475569"/>
      </x:bottom>
    </x:border>
    <x:border>
      <x:left style="thin">
        <x:color rgb="B0B0B0"/>
      </x:left>
      <x:top style="thin">
        <x:color rgb="B0B0B0"/>
      </x:top>
      <x:bottom style="thin">
        <x:color rgb="B0B0B0"/>
      </x:bottom>
    </x:border>
    <x:border>
      <x:left style="thin"/>
      <x:righ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49">
    <x:xf numFmtId="0" fontId="0" fillId="0" borderId="0"/>
    <x:xf numFmtId="43" fontId="40" fillId="0" borderId="0"/>
    <x:xf numFmtId="164" fontId="40" fillId="0" borderId="0"/>
    <x:xf numFmtId="9" fontId="40" fillId="0" borderId="0"/>
    <x:xf numFmtId="41" fontId="40" fillId="0" borderId="0"/>
    <x:xf numFmtId="165" fontId="40" fillId="0" borderId="0"/>
    <x:xf numFmtId="0" fontId="67" fillId="0" borderId="0" applyAlignment="1">
      <x:alignment vertical="center"/>
    </x:xf>
    <x:xf numFmtId="0" fontId="68" fillId="0" borderId="0" applyAlignment="1">
      <x:alignment vertical="center"/>
    </x:xf>
    <x:xf numFmtId="0" fontId="69" fillId="34" borderId="8" applyAlignment="1">
      <x:alignment vertical="center"/>
    </x:xf>
    <x:xf numFmtId="0" fontId="70" fillId="0" borderId="0" applyAlignment="1">
      <x:alignment vertical="center"/>
    </x:xf>
    <x:xf numFmtId="0" fontId="71" fillId="0" borderId="0" applyAlignment="1">
      <x:alignment vertical="center"/>
    </x:xf>
    <x:xf numFmtId="0" fontId="72" fillId="0" borderId="0" applyAlignment="1">
      <x:alignment vertical="center"/>
    </x:xf>
    <x:xf numFmtId="0" fontId="73" fillId="0" borderId="9" applyAlignment="1">
      <x:alignment vertical="center"/>
    </x:xf>
    <x:xf numFmtId="0" fontId="74" fillId="0" borderId="9" applyAlignment="1">
      <x:alignment vertical="center"/>
    </x:xf>
    <x:xf numFmtId="0" fontId="75" fillId="0" borderId="10" applyAlignment="1">
      <x:alignment vertical="center"/>
    </x:xf>
    <x:xf numFmtId="0" fontId="75" fillId="0" borderId="0" applyAlignment="1">
      <x:alignment vertical="center"/>
    </x:xf>
    <x:xf numFmtId="0" fontId="76" fillId="35" borderId="11" applyAlignment="1">
      <x:alignment vertical="center"/>
    </x:xf>
    <x:xf numFmtId="0" fontId="77" fillId="36" borderId="12" applyAlignment="1">
      <x:alignment vertical="center"/>
    </x:xf>
    <x:xf numFmtId="0" fontId="78" fillId="36" borderId="11" applyAlignment="1">
      <x:alignment vertical="center"/>
    </x:xf>
    <x:xf numFmtId="0" fontId="79" fillId="37" borderId="13" applyAlignment="1">
      <x:alignment vertical="center"/>
    </x:xf>
    <x:xf numFmtId="0" fontId="80" fillId="0" borderId="14" applyAlignment="1">
      <x:alignment vertical="center"/>
    </x:xf>
    <x:xf numFmtId="0" fontId="81" fillId="0" borderId="15" applyAlignment="1">
      <x:alignment vertical="center"/>
    </x:xf>
    <x:xf numFmtId="0" fontId="82" fillId="38" borderId="0" applyAlignment="1">
      <x:alignment vertical="center"/>
    </x:xf>
    <x:xf numFmtId="0" fontId="83" fillId="39" borderId="0" applyAlignment="1">
      <x:alignment vertical="center"/>
    </x:xf>
    <x:xf numFmtId="0" fontId="84" fillId="40" borderId="0" applyAlignment="1">
      <x:alignment vertical="center"/>
    </x:xf>
    <x:xf numFmtId="0" fontId="85" fillId="41" borderId="0" applyAlignment="1">
      <x:alignment vertical="center"/>
    </x:xf>
    <x:xf numFmtId="0" fontId="86" fillId="42" borderId="0" applyAlignment="1">
      <x:alignment vertical="center"/>
    </x:xf>
    <x:xf numFmtId="0" fontId="86" fillId="43" borderId="0" applyAlignment="1">
      <x:alignment vertical="center"/>
    </x:xf>
    <x:xf numFmtId="0" fontId="85" fillId="44" borderId="0" applyAlignment="1">
      <x:alignment vertical="center"/>
    </x:xf>
    <x:xf numFmtId="0" fontId="85" fillId="45" borderId="0" applyAlignment="1">
      <x:alignment vertical="center"/>
    </x:xf>
    <x:xf numFmtId="0" fontId="86" fillId="46" borderId="0" applyAlignment="1">
      <x:alignment vertical="center"/>
    </x:xf>
    <x:xf numFmtId="0" fontId="86" fillId="47" borderId="0" applyAlignment="1">
      <x:alignment vertical="center"/>
    </x:xf>
    <x:xf numFmtId="0" fontId="85" fillId="48" borderId="0" applyAlignment="1">
      <x:alignment vertical="center"/>
    </x:xf>
    <x:xf numFmtId="0" fontId="85" fillId="49" borderId="0" applyAlignment="1">
      <x:alignment vertical="center"/>
    </x:xf>
    <x:xf numFmtId="0" fontId="86" fillId="50" borderId="0" applyAlignment="1">
      <x:alignment vertical="center"/>
    </x:xf>
    <x:xf numFmtId="0" fontId="86" fillId="51" borderId="0" applyAlignment="1">
      <x:alignment vertical="center"/>
    </x:xf>
    <x:xf numFmtId="0" fontId="85" fillId="52" borderId="0" applyAlignment="1">
      <x:alignment vertical="center"/>
    </x:xf>
    <x:xf numFmtId="0" fontId="85" fillId="53" borderId="0" applyAlignment="1">
      <x:alignment vertical="center"/>
    </x:xf>
    <x:xf numFmtId="0" fontId="86" fillId="54" borderId="0" applyAlignment="1">
      <x:alignment vertical="center"/>
    </x:xf>
    <x:xf numFmtId="0" fontId="86" fillId="55" borderId="0" applyAlignment="1">
      <x:alignment vertical="center"/>
    </x:xf>
    <x:xf numFmtId="0" fontId="85" fillId="56" borderId="0" applyAlignment="1">
      <x:alignment vertical="center"/>
    </x:xf>
    <x:xf numFmtId="0" fontId="85" fillId="57" borderId="0" applyAlignment="1">
      <x:alignment vertical="center"/>
    </x:xf>
    <x:xf numFmtId="0" fontId="86" fillId="58" borderId="0" applyAlignment="1">
      <x:alignment vertical="center"/>
    </x:xf>
    <x:xf numFmtId="0" fontId="86" fillId="59" borderId="0" applyAlignment="1">
      <x:alignment vertical="center"/>
    </x:xf>
    <x:xf numFmtId="0" fontId="85" fillId="60" borderId="0" applyAlignment="1">
      <x:alignment vertical="center"/>
    </x:xf>
    <x:xf numFmtId="0" fontId="85" fillId="61" borderId="0" applyAlignment="1">
      <x:alignment vertical="center"/>
    </x:xf>
    <x:xf numFmtId="0" fontId="86" fillId="62" borderId="0" applyAlignment="1">
      <x:alignment vertical="center"/>
    </x:xf>
    <x:xf numFmtId="0" fontId="86" fillId="63" borderId="0" applyAlignment="1">
      <x:alignment vertical="center"/>
    </x:xf>
    <x:xf numFmtId="0" fontId="85" fillId="64" borderId="0" applyAlignment="1">
      <x:alignment vertical="center"/>
    </x:xf>
  </x:cellStyleXfs>
  <x:cellXfs count="49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/>
    <x:xf numFmtId="0" fontId="0" fillId="0" borderId="3" xfId="0"/>
    <x:xf numFmtId="0" fontId="2" fillId="0" borderId="0" xfId="0" applyAlignment="1">
      <x:alignment horizontal="center"/>
    </x:xf>
    <x:xf numFmtId="0" fontId="3" fillId="3" borderId="1" xfId="0" applyAlignment="1">
      <x:alignment horizontal="left" vertical="center"/>
    </x:xf>
    <x:xf numFmtId="0" fontId="4" fillId="4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6" fillId="5" borderId="1" xfId="0" applyAlignment="1">
      <x:alignment horizontal="left" vertical="center" wrapText="1"/>
    </x:xf>
    <x:xf numFmtId="0" fontId="7" fillId="4" borderId="1" xfId="0" applyAlignment="1">
      <x:alignment horizontal="left" vertical="center" wrapText="1"/>
    </x:xf>
    <x:xf numFmtId="0" fontId="8" fillId="6" borderId="4" xfId="0" applyAlignment="1">
      <x:alignment horizontal="left" vertical="center"/>
    </x:xf>
    <x:xf numFmtId="0" fontId="0" fillId="0" borderId="5" xfId="0"/>
    <x:xf numFmtId="0" fontId="0" fillId="0" borderId="6" xfId="0"/>
    <x:xf numFmtId="0" fontId="9" fillId="7" borderId="4" xfId="0" applyAlignment="1">
      <x:alignment horizontal="center" vertical="center"/>
    </x:xf>
    <x:xf numFmtId="0" fontId="10" fillId="8" borderId="4" xfId="0" applyAlignment="1">
      <x:alignment horizontal="center" vertical="center"/>
    </x:xf>
    <x:xf numFmtId="0" fontId="11" fillId="8" borderId="4" xfId="0" applyAlignment="1">
      <x:alignment horizontal="center" vertical="center"/>
    </x:xf>
    <x:xf numFmtId="0" fontId="12" fillId="8" borderId="4" xfId="0" applyAlignment="1">
      <x:alignment horizontal="center" vertical="center"/>
    </x:xf>
    <x:xf numFmtId="0" fontId="13" fillId="8" borderId="4" xfId="0" applyAlignment="1">
      <x:alignment vertical="center" wrapText="1"/>
    </x:xf>
    <x:xf numFmtId="0" fontId="10" fillId="9" borderId="4" xfId="0" applyAlignment="1">
      <x:alignment horizontal="center" vertical="center"/>
    </x:xf>
    <x:xf numFmtId="0" fontId="11" fillId="9" borderId="4" xfId="0" applyAlignment="1">
      <x:alignment horizontal="center" vertical="center"/>
    </x:xf>
    <x:xf numFmtId="0" fontId="12" fillId="9" borderId="4" xfId="0" applyAlignment="1">
      <x:alignment horizontal="center" vertical="center"/>
    </x:xf>
    <x:xf numFmtId="0" fontId="13" fillId="9" borderId="4" xfId="0" applyAlignment="1">
      <x:alignment vertical="center" wrapText="1"/>
    </x:xf>
    <x:xf numFmtId="0" fontId="10" fillId="10" borderId="4" xfId="0" applyAlignment="1">
      <x:alignment horizontal="center" vertical="center"/>
    </x:xf>
    <x:xf numFmtId="0" fontId="11" fillId="10" borderId="4" xfId="0" applyAlignment="1">
      <x:alignment horizontal="center" vertical="center"/>
    </x:xf>
    <x:xf numFmtId="0" fontId="12" fillId="10" borderId="4" xfId="0" applyAlignment="1">
      <x:alignment horizontal="center" vertical="center"/>
    </x:xf>
    <x:xf numFmtId="0" fontId="13" fillId="10" borderId="4" xfId="0" applyAlignment="1">
      <x:alignment vertical="center" wrapText="1"/>
    </x:xf>
    <x:xf numFmtId="0" fontId="10" fillId="11" borderId="4" xfId="0" applyAlignment="1">
      <x:alignment horizontal="center" vertical="center"/>
    </x:xf>
    <x:xf numFmtId="0" fontId="11" fillId="11" borderId="4" xfId="0" applyAlignment="1">
      <x:alignment horizontal="center" vertical="center"/>
    </x:xf>
    <x:xf numFmtId="0" fontId="12" fillId="11" borderId="4" xfId="0" applyAlignment="1">
      <x:alignment horizontal="center" vertical="center"/>
    </x:xf>
    <x:xf numFmtId="0" fontId="13" fillId="11" borderId="4" xfId="0" applyAlignment="1">
      <x:alignment vertical="center" wrapText="1"/>
    </x:xf>
    <x:xf numFmtId="0" fontId="14" fillId="12" borderId="1" xfId="0" applyAlignment="1">
      <x:alignment horizontal="center" vertical="center" wrapText="1"/>
    </x:xf>
    <x:xf numFmtId="0" fontId="15" fillId="0" borderId="1" xfId="0" applyAlignment="1">
      <x:alignment horizontal="left" vertical="center" wrapText="1"/>
    </x:xf>
    <x:xf numFmtId="0" fontId="16" fillId="2" borderId="1" xfId="0" applyAlignment="1">
      <x:alignment horizontal="center" vertical="center" wrapText="1"/>
    </x:xf>
    <x:xf numFmtId="0" fontId="17" fillId="5" borderId="1" xfId="0" applyAlignment="1">
      <x:alignment horizontal="left" vertical="center" wrapText="1"/>
    </x:xf>
    <x:xf numFmtId="0" fontId="18" fillId="13" borderId="1" xfId="0" applyAlignment="1">
      <x:alignment horizontal="center" vertical="center" wrapText="1"/>
    </x:xf>
    <x:xf numFmtId="0" fontId="19" fillId="0" borderId="1" xfId="0" applyAlignment="1">
      <x:alignment horizontal="left" vertical="center" wrapText="1"/>
    </x:xf>
    <x:xf numFmtId="0" fontId="20" fillId="5" borderId="1" xfId="0" applyAlignment="1">
      <x:alignment horizontal="left" vertical="center" wrapText="1"/>
    </x:xf>
    <x:xf numFmtId="0" fontId="21" fillId="14" borderId="7" xfId="0" applyAlignment="1">
      <x:alignment horizontal="center" vertical="center" wrapText="1"/>
    </x:xf>
    <x:xf numFmtId="0" fontId="3" fillId="3" borderId="7" xfId="0" applyAlignment="1">
      <x:alignment horizontal="left" vertical="center"/>
    </x:xf>
    <x:xf numFmtId="0" fontId="22" fillId="15" borderId="1" xfId="0" applyAlignment="1">
      <x:alignment horizontal="center" vertical="center" wrapText="1"/>
    </x:xf>
    <x:xf numFmtId="0" fontId="15" fillId="16" borderId="1" xfId="0" applyAlignment="1">
      <x:alignment horizontal="center" vertical="center"/>
    </x:xf>
    <x:xf numFmtId="0" fontId="5" fillId="16" borderId="1" xfId="0" applyAlignment="1">
      <x:alignment horizontal="left" vertical="center"/>
    </x:xf>
    <x:xf numFmtId="0" fontId="15" fillId="16" borderId="1" xfId="0" applyAlignment="1">
      <x:alignment horizontal="left" vertical="center"/>
    </x:xf>
    <x:xf numFmtId="0" fontId="15" fillId="0" borderId="1" xfId="0" applyAlignment="1">
      <x:alignment horizontal="center" vertical="center"/>
    </x:xf>
    <x:xf numFmtId="0" fontId="5" fillId="0" borderId="1" xfId="0" applyAlignment="1">
      <x:alignment horizontal="left" vertical="center"/>
    </x:xf>
    <x:xf numFmtId="0" fontId="15" fillId="0" borderId="1" xfId="0" applyAlignment="1">
      <x:alignment horizontal="left" vertical="center"/>
    </x:xf>
    <x:xf numFmtId="0" fontId="23" fillId="15" borderId="1" xfId="0" applyAlignment="1">
      <x:alignment horizontal="center" vertical="center" wrapText="1"/>
    </x:xf>
    <x:xf numFmtId="0" fontId="24" fillId="8" borderId="1" xfId="0" applyAlignment="1">
      <x:alignment horizontal="center" vertical="center" wrapText="1"/>
    </x:xf>
    <x:xf numFmtId="0" fontId="13" fillId="8" borderId="1" xfId="0" applyAlignment="1">
      <x:alignment horizontal="center" vertical="center" wrapText="1"/>
    </x:xf>
    <x:xf numFmtId="0" fontId="25" fillId="8" borderId="1" xfId="0" applyAlignment="1">
      <x:alignment horizontal="left" vertical="center" wrapText="1"/>
    </x:xf>
    <x:xf numFmtId="0" fontId="24" fillId="9" borderId="1" xfId="0" applyAlignment="1">
      <x:alignment horizontal="center" vertical="center" wrapText="1"/>
    </x:xf>
    <x:xf numFmtId="0" fontId="13" fillId="9" borderId="1" xfId="0" applyAlignment="1">
      <x:alignment horizontal="center" vertical="center" wrapText="1"/>
    </x:xf>
    <x:xf numFmtId="0" fontId="25" fillId="9" borderId="1" xfId="0" applyAlignment="1">
      <x:alignment horizontal="left" vertical="center" wrapText="1"/>
    </x:xf>
    <x:xf numFmtId="0" fontId="24" fillId="10" borderId="1" xfId="0" applyAlignment="1">
      <x:alignment horizontal="center" vertical="center" wrapText="1"/>
    </x:xf>
    <x:xf numFmtId="0" fontId="13" fillId="10" borderId="1" xfId="0" applyAlignment="1">
      <x:alignment horizontal="center" vertical="center" wrapText="1"/>
    </x:xf>
    <x:xf numFmtId="0" fontId="25" fillId="10" borderId="1" xfId="0" applyAlignment="1">
      <x:alignment horizontal="left" vertical="center" wrapText="1"/>
    </x:xf>
    <x:xf numFmtId="0" fontId="13" fillId="10" borderId="1" xfId="0" applyAlignment="1">
      <x:alignment horizontal="left" vertical="center" wrapText="1"/>
    </x:xf>
    <x:xf numFmtId="0" fontId="24" fillId="11" borderId="1" xfId="0" applyAlignment="1">
      <x:alignment horizontal="center" vertical="center" wrapText="1"/>
    </x:xf>
    <x:xf numFmtId="0" fontId="13" fillId="11" borderId="1" xfId="0" applyAlignment="1">
      <x:alignment horizontal="center" vertical="center" wrapText="1"/>
    </x:xf>
    <x:xf numFmtId="0" fontId="13" fillId="11" borderId="1" xfId="0" applyAlignment="1">
      <x:alignment horizontal="left" vertical="center" wrapText="1"/>
    </x:xf>
    <x:xf numFmtId="3" fontId="15" fillId="16" borderId="1" xfId="0" applyAlignment="1">
      <x:alignment horizontal="right" vertical="center"/>
    </x:xf>
    <x:xf numFmtId="0" fontId="15" fillId="16" borderId="1" xfId="0" applyAlignment="1">
      <x:alignment horizontal="right" vertical="center"/>
    </x:xf>
    <x:xf numFmtId="3" fontId="15" fillId="0" borderId="1" xfId="0" applyAlignment="1">
      <x:alignment horizontal="right" vertical="center"/>
    </x:xf>
    <x:xf numFmtId="0" fontId="15" fillId="0" borderId="1" xfId="0" applyAlignment="1">
      <x:alignment horizontal="right" vertical="center"/>
    </x:xf>
    <x:xf numFmtId="0" fontId="26" fillId="8" borderId="1" xfId="0" applyAlignment="1">
      <x:alignment horizontal="left" vertical="center" wrapText="1"/>
    </x:xf>
    <x:xf numFmtId="0" fontId="0" fillId="8" borderId="1" xfId="0"/>
    <x:xf numFmtId="0" fontId="27" fillId="8" borderId="1" xfId="0" applyAlignment="1">
      <x:alignment horizontal="left" vertical="center" wrapText="1"/>
    </x:xf>
    <x:xf numFmtId="0" fontId="17" fillId="8" borderId="1" xfId="0" applyAlignment="1">
      <x:alignment horizontal="left" vertical="center" wrapText="1"/>
    </x:xf>
    <x:xf numFmtId="0" fontId="26" fillId="9" borderId="1" xfId="0" applyAlignment="1">
      <x:alignment horizontal="left" vertical="center" wrapText="1"/>
    </x:xf>
    <x:xf numFmtId="0" fontId="0" fillId="9" borderId="1" xfId="0"/>
    <x:xf numFmtId="0" fontId="27" fillId="9" borderId="1" xfId="0" applyAlignment="1">
      <x:alignment horizontal="left" vertical="center" wrapText="1"/>
    </x:xf>
    <x:xf numFmtId="0" fontId="17" fillId="9" borderId="1" xfId="0" applyAlignment="1">
      <x:alignment horizontal="left" vertical="center" wrapText="1"/>
    </x:xf>
    <x:xf numFmtId="0" fontId="26" fillId="10" borderId="1" xfId="0" applyAlignment="1">
      <x:alignment horizontal="left" vertical="center" wrapText="1"/>
    </x:xf>
    <x:xf numFmtId="0" fontId="0" fillId="10" borderId="1" xfId="0"/>
    <x:xf numFmtId="0" fontId="27" fillId="10" borderId="1" xfId="0" applyAlignment="1">
      <x:alignment horizontal="left" vertical="center" wrapText="1"/>
    </x:xf>
    <x:xf numFmtId="0" fontId="17" fillId="10" borderId="1" xfId="0" applyAlignment="1">
      <x:alignment horizontal="left" vertical="center" wrapText="1"/>
    </x:xf>
    <x:xf numFmtId="0" fontId="28" fillId="10" borderId="1" xfId="0" applyAlignment="1">
      <x:alignment horizontal="left" vertical="center" wrapText="1"/>
    </x:xf>
    <x:xf numFmtId="0" fontId="6" fillId="10" borderId="1" xfId="0" applyAlignment="1">
      <x:alignment horizontal="left" vertical="center" wrapText="1"/>
    </x:xf>
    <x:xf numFmtId="0" fontId="26" fillId="11" borderId="1" xfId="0" applyAlignment="1">
      <x:alignment horizontal="left" vertical="center" wrapText="1"/>
    </x:xf>
    <x:xf numFmtId="0" fontId="0" fillId="11" borderId="1" xfId="0"/>
    <x:xf numFmtId="0" fontId="27" fillId="11" borderId="1" xfId="0" applyAlignment="1">
      <x:alignment horizontal="left" vertical="center" wrapText="1"/>
    </x:xf>
    <x:xf numFmtId="0" fontId="6" fillId="11" borderId="1" xfId="0" applyAlignment="1">
      <x:alignment horizontal="left" vertical="center" wrapText="1"/>
    </x:xf>
    <x:xf numFmtId="0" fontId="29" fillId="14" borderId="7" xfId="0" applyAlignment="1">
      <x:alignment horizontal="center" vertical="center" wrapText="1"/>
    </x:xf>
    <x:xf numFmtId="0" fontId="30" fillId="17" borderId="1" xfId="0" applyAlignment="1">
      <x:alignment horizontal="left" vertical="center" wrapText="1"/>
    </x:xf>
    <x:xf numFmtId="0" fontId="3" fillId="14" borderId="7" xfId="0" applyAlignment="1">
      <x:alignment horizontal="left" vertical="center"/>
    </x:xf>
    <x:xf numFmtId="0" fontId="15" fillId="14" borderId="1" xfId="0" applyAlignment="1">
      <x:alignment horizontal="center" vertical="center" wrapText="1"/>
    </x:xf>
    <x:xf numFmtId="0" fontId="31" fillId="18" borderId="7" xfId="0" applyAlignment="1">
      <x:alignment horizontal="left" vertical="center"/>
    </x:xf>
    <x:xf numFmtId="0" fontId="6" fillId="5" borderId="7" xfId="0" applyAlignment="1">
      <x:alignment horizontal="left" vertical="center" wrapText="1"/>
    </x:xf>
    <x:xf numFmtId="0" fontId="17" fillId="5" borderId="7" xfId="0" applyAlignment="1">
      <x:alignment horizontal="left" vertical="center" wrapText="1"/>
    </x:xf>
    <x:xf numFmtId="0" fontId="8" fillId="6" borderId="4" xfId="0"/>
    <x:xf numFmtId="0" fontId="16" fillId="2" borderId="7" xfId="0" applyAlignment="1">
      <x:alignment horizontal="center" vertical="center" wrapText="1"/>
    </x:xf>
    <x:xf numFmtId="0" fontId="3" fillId="2" borderId="7" xfId="0" applyAlignment="1">
      <x:alignment horizontal="left" vertical="center"/>
    </x:xf>
    <x:xf numFmtId="0" fontId="15" fillId="2" borderId="1" xfId="0" applyAlignment="1">
      <x:alignment horizontal="center" vertical="center" wrapText="1"/>
    </x:xf>
    <x:xf numFmtId="0" fontId="32" fillId="13" borderId="7" xfId="0" applyAlignment="1">
      <x:alignment horizontal="center" vertical="center" wrapText="1"/>
    </x:xf>
    <x:xf numFmtId="0" fontId="15" fillId="0" borderId="7" xfId="0" applyAlignment="1">
      <x:alignment horizontal="left" vertical="center" wrapText="1"/>
    </x:xf>
    <x:xf numFmtId="0" fontId="3" fillId="13" borderId="7" xfId="0" applyAlignment="1">
      <x:alignment horizontal="left" vertical="center"/>
    </x:xf>
    <x:xf numFmtId="0" fontId="15" fillId="13" borderId="1" xfId="0" applyAlignment="1">
      <x:alignment horizontal="center" vertical="center" wrapText="1"/>
    </x:xf>
    <x:xf numFmtId="0" fontId="1" fillId="2" borderId="7" xfId="0" applyAlignment="1">
      <x:alignment horizontal="center" vertical="center" wrapText="1"/>
    </x:xf>
    <x:xf numFmtId="0" fontId="10" fillId="8" borderId="1" xfId="0" applyAlignment="1">
      <x:alignment horizontal="center" vertical="center"/>
    </x:xf>
    <x:xf numFmtId="0" fontId="10" fillId="9" borderId="1" xfId="0" applyAlignment="1">
      <x:alignment horizontal="center" vertical="center"/>
    </x:xf>
    <x:xf numFmtId="0" fontId="10" fillId="10" borderId="1" xfId="0" applyAlignment="1">
      <x:alignment horizontal="center" vertical="center"/>
    </x:xf>
    <x:xf numFmtId="0" fontId="10" fillId="11" borderId="1" xfId="0" applyAlignment="1">
      <x:alignment horizontal="center" vertical="center"/>
    </x:xf>
    <x:xf numFmtId="0" fontId="25" fillId="11" borderId="1" xfId="0" applyAlignment="1">
      <x:alignment horizontal="left" vertical="center" wrapText="1"/>
    </x:xf>
    <x:xf numFmtId="0" fontId="6" fillId="9" borderId="1" xfId="0" applyAlignment="1">
      <x:alignment horizontal="left" vertical="center" wrapText="1"/>
    </x:xf>
    <x:xf numFmtId="0" fontId="17" fillId="11" borderId="1" xfId="0" applyAlignment="1">
      <x:alignment horizontal="left" vertical="center" wrapText="1"/>
    </x:xf>
    <x:xf numFmtId="0" fontId="18" fillId="13" borderId="7" xfId="0" applyAlignment="1">
      <x:alignment horizontal="center" vertical="center" wrapText="1"/>
    </x:xf>
    <x:xf numFmtId="0" fontId="5" fillId="16" borderId="1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6" fillId="8" borderId="1" xfId="0" applyAlignment="1">
      <x:alignment horizontal="left" vertical="center" wrapText="1"/>
    </x:xf>
    <x:xf numFmtId="0" fontId="28" fillId="11" borderId="1" xfId="0" applyAlignment="1">
      <x:alignment horizontal="left" vertical="center" wrapText="1"/>
    </x:xf>
    <x:xf numFmtId="0" fontId="33" fillId="11" borderId="1" xfId="0" applyAlignment="1">
      <x:alignment horizontal="left" vertical="center" wrapText="1"/>
    </x:xf>
    <x:xf numFmtId="0" fontId="14" fillId="12" borderId="7" xfId="0" applyAlignment="1">
      <x:alignment horizontal="center" vertical="center" wrapText="1"/>
    </x:xf>
    <x:xf numFmtId="0" fontId="34" fillId="19" borderId="7" xfId="0" applyAlignment="1">
      <x:alignment horizontal="center" vertical="center" wrapText="1"/>
    </x:xf>
    <x:xf numFmtId="0" fontId="0" fillId="0" borderId="0" xfId="0"/>
    <x:xf numFmtId="0" fontId="35" fillId="20" borderId="1" xfId="0" applyAlignment="1">
      <x:alignment horizontal="center" vertical="center" wrapText="1"/>
    </x:xf>
    <x:xf numFmtId="0" fontId="36" fillId="0" borderId="0" xfId="0" applyAlignment="1">
      <x:alignment horizontal="center"/>
    </x:xf>
    <x:xf numFmtId="0" fontId="37" fillId="21" borderId="1" xfId="0" applyAlignment="1">
      <x:alignment horizontal="left" vertical="center" wrapText="1"/>
    </x:xf>
    <x:xf numFmtId="0" fontId="38" fillId="22" borderId="1" xfId="0" applyAlignment="1">
      <x:alignment horizontal="left" vertical="center"/>
    </x:xf>
    <x:xf numFmtId="0" fontId="39" fillId="23" borderId="1" xfId="0" applyAlignment="1">
      <x:alignment horizontal="center" vertical="center" wrapText="1"/>
    </x:xf>
    <x:xf numFmtId="0" fontId="37" fillId="24" borderId="1" xfId="0" applyAlignment="1">
      <x:alignment horizontal="center" vertical="center" wrapText="1"/>
    </x:xf>
    <x:xf numFmtId="0" fontId="40" fillId="0" borderId="1" xfId="0" applyAlignment="1">
      <x:alignment horizontal="left" vertical="center" wrapText="1"/>
    </x:xf>
    <x:xf numFmtId="0" fontId="41" fillId="25" borderId="1" xfId="0" applyAlignment="1">
      <x:alignment horizontal="left" vertical="center" wrapText="1"/>
    </x:xf>
    <x:xf numFmtId="0" fontId="42" fillId="26" borderId="0" xfId="0" applyAlignment="1">
      <x:alignment horizontal="center" vertical="center"/>
    </x:xf>
    <x:xf numFmtId="0" fontId="43" fillId="0" borderId="0" xfId="0" applyAlignment="1">
      <x:alignment vertical="center" wrapText="1"/>
    </x:xf>
    <x:xf numFmtId="0" fontId="44" fillId="0" borderId="0" xfId="0" applyAlignment="1">
      <x:alignment vertical="center" wrapText="1"/>
    </x:xf>
    <x:xf numFmtId="0" fontId="44" fillId="8" borderId="0" xfId="0" applyAlignment="1">
      <x:alignment horizontal="center"/>
    </x:xf>
    <x:xf numFmtId="0" fontId="37" fillId="0" borderId="0" xfId="0"/>
    <x:xf numFmtId="0" fontId="40" fillId="0" borderId="0" xfId="0" applyAlignment="1">
      <x:alignment wrapText="1"/>
    </x:xf>
    <x:xf numFmtId="0" fontId="45" fillId="10" borderId="0" xfId="0" applyAlignment="1">
      <x:alignment horizontal="center"/>
    </x:xf>
    <x:xf numFmtId="0" fontId="46" fillId="27" borderId="0" xfId="0" applyAlignment="1">
      <x:alignment horizontal="center"/>
    </x:xf>
    <x:xf numFmtId="0" fontId="47" fillId="0" borderId="0" xfId="0"/>
    <x:xf numFmtId="0" fontId="48" fillId="6" borderId="4" xfId="0" applyAlignment="1">
      <x:alignment horizontal="left" vertical="center"/>
    </x:xf>
    <x:xf numFmtId="0" fontId="0" fillId="0" borderId="4" xfId="0"/>
    <x:xf numFmtId="0" fontId="49" fillId="6" borderId="4" xfId="0" applyAlignment="1">
      <x:alignment vertical="center" wrapText="1"/>
    </x:xf>
    <x:xf numFmtId="0" fontId="10" fillId="10" borderId="4" xfId="0" applyAlignment="1">
      <x:alignment vertical="center" wrapText="1"/>
    </x:xf>
    <x:xf numFmtId="0" fontId="10" fillId="8" borderId="4" xfId="0" applyAlignment="1">
      <x:alignment vertical="center" wrapText="1"/>
    </x:xf>
    <x:xf numFmtId="0" fontId="10" fillId="11" borderId="4" xfId="0" applyAlignment="1">
      <x:alignment vertical="center" wrapText="1"/>
    </x:xf>
    <x:xf numFmtId="0" fontId="50" fillId="6" borderId="4" xfId="0" applyAlignment="1">
      <x:alignment horizontal="center" vertical="center"/>
    </x:xf>
    <x:xf numFmtId="0" fontId="51" fillId="15" borderId="7" xfId="0" applyAlignment="1">
      <x:alignment horizontal="center" vertical="center" wrapText="1"/>
    </x:xf>
    <x:xf numFmtId="0" fontId="52" fillId="0" borderId="0" xfId="0" applyAlignment="1">
      <x:alignment horizontal="center"/>
    </x:xf>
    <x:xf numFmtId="0" fontId="3" fillId="4" borderId="7" xfId="0" applyAlignment="1">
      <x:alignment horizontal="left" vertical="center"/>
    </x:xf>
    <x:xf numFmtId="0" fontId="53" fillId="19" borderId="1" xfId="0" applyAlignment="1">
      <x:alignment horizontal="center" vertical="center"/>
    </x:xf>
    <x:xf numFmtId="0" fontId="54" fillId="12" borderId="1" xfId="0" applyAlignment="1">
      <x:alignment horizontal="center" vertical="center"/>
    </x:xf>
    <x:xf numFmtId="0" fontId="55" fillId="13" borderId="1" xfId="0" applyAlignment="1">
      <x:alignment horizontal="center" vertical="center"/>
    </x:xf>
    <x:xf numFmtId="0" fontId="56" fillId="2" borderId="1" xfId="0" applyAlignment="1">
      <x:alignment horizontal="center" vertical="center"/>
    </x:xf>
    <x:xf numFmtId="0" fontId="57" fillId="6" borderId="4" xfId="0" applyAlignment="1">
      <x:alignment horizontal="left" vertical="center"/>
    </x:xf>
    <x:xf numFmtId="0" fontId="49" fillId="6" borderId="4" xfId="0" applyAlignment="1">
      <x:alignment horizontal="left" vertical="center"/>
    </x:xf>
    <x:xf numFmtId="0" fontId="44" fillId="28" borderId="4" xfId="0" applyAlignment="1">
      <x:alignment horizontal="left" vertical="center"/>
    </x:xf>
    <x:xf numFmtId="0" fontId="10" fillId="8" borderId="4" xfId="0" applyAlignment="1">
      <x:alignment vertical="center"/>
    </x:xf>
    <x:xf numFmtId="0" fontId="13" fillId="8" borderId="4" xfId="0" applyAlignment="1">
      <x:alignment vertical="center"/>
    </x:xf>
    <x:xf numFmtId="0" fontId="13" fillId="8" borderId="4" xfId="0" applyAlignment="1">
      <x:alignment horizontal="center" vertical="center"/>
    </x:xf>
    <x:xf numFmtId="0" fontId="58" fillId="29" borderId="4" xfId="0" applyAlignment="1">
      <x:alignment horizontal="left" vertical="center"/>
    </x:xf>
    <x:xf numFmtId="0" fontId="10" fillId="9" borderId="4" xfId="0" applyAlignment="1">
      <x:alignment vertical="center"/>
    </x:xf>
    <x:xf numFmtId="0" fontId="13" fillId="9" borderId="4" xfId="0" applyAlignment="1">
      <x:alignment vertical="center"/>
    </x:xf>
    <x:xf numFmtId="0" fontId="13" fillId="9" borderId="4" xfId="0" applyAlignment="1">
      <x:alignment horizontal="center" vertical="center"/>
    </x:xf>
    <x:xf numFmtId="0" fontId="45" fillId="30" borderId="4" xfId="0" applyAlignment="1">
      <x:alignment horizontal="left" vertical="center"/>
    </x:xf>
    <x:xf numFmtId="0" fontId="10" fillId="10" borderId="4" xfId="0" applyAlignment="1">
      <x:alignment vertical="center"/>
    </x:xf>
    <x:xf numFmtId="0" fontId="13" fillId="10" borderId="4" xfId="0" applyAlignment="1">
      <x:alignment vertical="center"/>
    </x:xf>
    <x:xf numFmtId="0" fontId="13" fillId="10" borderId="4" xfId="0" applyAlignment="1">
      <x:alignment horizontal="center" vertical="center"/>
    </x:xf>
    <x:xf numFmtId="0" fontId="59" fillId="31" borderId="4" xfId="0" applyAlignment="1">
      <x:alignment horizontal="left" vertical="center"/>
    </x:xf>
    <x:xf numFmtId="0" fontId="10" fillId="32" borderId="4" xfId="0" applyAlignment="1">
      <x:alignment horizontal="center" vertical="center"/>
    </x:xf>
    <x:xf numFmtId="0" fontId="10" fillId="32" borderId="4" xfId="0" applyAlignment="1">
      <x:alignment vertical="center"/>
    </x:xf>
    <x:xf numFmtId="0" fontId="13" fillId="32" borderId="4" xfId="0" applyAlignment="1">
      <x:alignment vertical="center"/>
    </x:xf>
    <x:xf numFmtId="0" fontId="13" fillId="32" borderId="4" xfId="0" applyAlignment="1">
      <x:alignment horizontal="center" vertical="center"/>
    </x:xf>
    <x:xf numFmtId="0" fontId="60" fillId="33" borderId="4" xfId="0" applyAlignment="1">
      <x:alignment horizontal="left" vertical="center"/>
    </x:xf>
    <x:xf numFmtId="0" fontId="10" fillId="11" borderId="4" xfId="0" applyAlignment="1">
      <x:alignment vertical="center"/>
    </x:xf>
    <x:xf numFmtId="0" fontId="13" fillId="11" borderId="4" xfId="0" applyAlignment="1">
      <x:alignment vertical="center"/>
    </x:xf>
    <x:xf numFmtId="0" fontId="13" fillId="11" borderId="4" xfId="0" applyAlignment="1">
      <x:alignment horizontal="center" vertical="center"/>
    </x:xf>
    <x:xf numFmtId="0" fontId="61" fillId="0" borderId="0" xfId="0"/>
    <x:xf numFmtId="0" fontId="62" fillId="6" borderId="4" xfId="0" applyAlignment="1">
      <x:alignment horizontal="left" vertical="center"/>
    </x:xf>
    <x:xf numFmtId="0" fontId="9" fillId="7" borderId="4" xfId="0" applyAlignment="1">
      <x:alignment horizontal="center"/>
    </x:xf>
    <x:xf numFmtId="0" fontId="63" fillId="0" borderId="4" xfId="0" applyAlignment="1">
      <x:alignment vertical="center"/>
    </x:xf>
    <x:xf numFmtId="0" fontId="40" fillId="0" borderId="4" xfId="0" applyAlignment="1">
      <x:alignment vertical="center"/>
    </x:xf>
    <x:xf numFmtId="0" fontId="40" fillId="0" borderId="4" xfId="0" applyAlignment="1">
      <x:alignment horizontal="center" vertical="center"/>
    </x:xf>
    <x:xf numFmtId="0" fontId="64" fillId="0" borderId="4" xfId="0" applyAlignment="1">
      <x:alignment horizontal="center" vertical="center"/>
    </x:xf>
    <x:xf numFmtId="0" fontId="65" fillId="27" borderId="4" xfId="0" applyAlignment="1">
      <x:alignment horizontal="left" vertical="center"/>
    </x:xf>
    <x:xf numFmtId="0" fontId="47" fillId="0" borderId="4" xfId="0" applyAlignment="1">
      <x:alignment vertical="center"/>
    </x:xf>
    <x:xf numFmtId="0" fontId="40" fillId="0" borderId="4" xfId="0" applyAlignment="1">
      <x:alignment vertical="center" wrapText="1"/>
    </x:xf>
    <x:xf numFmtId="0" fontId="66" fillId="8" borderId="4" xfId="0" applyAlignment="1">
      <x:alignment horizontal="left" vertical="center"/>
    </x:xf>
    <x:xf numFmtId="0" fontId="37" fillId="0" borderId="4" xfId="0" applyAlignment="1">
      <x:alignment vertical="center"/>
    </x:xf>
    <x:xf numFmtId="0" fontId="24" fillId="14" borderId="1" xfId="0" applyAlignment="1">
      <x:alignment horizontal="center" vertical="center"/>
    </x:xf>
    <x:xf numFmtId="0" fontId="11" fillId="32" borderId="4" xfId="0" applyAlignment="1">
      <x:alignment horizontal="center" vertical="center"/>
    </x:xf>
    <x:xf numFmtId="0" fontId="87" fillId="65" borderId="0" xfId="0" applyAlignment="1">
      <x:alignment horizontal="left" vertical="center"/>
    </x:xf>
    <x:xf numFmtId="0" fontId="88" fillId="65" borderId="0" xfId="0" applyAlignment="1">
      <x:alignment horizontal="left" vertical="center"/>
    </x:xf>
    <x:xf numFmtId="0" fontId="89" fillId="66" borderId="20" xfId="0"/>
    <x:xf numFmtId="0" fontId="0" fillId="0" borderId="21" xfId="0"/>
    <x:xf numFmtId="0" fontId="0" fillId="0" borderId="22" xfId="0"/>
    <x:xf numFmtId="0" fontId="91" fillId="67" borderId="20" xfId="0" applyAlignment="1">
      <x:alignment horizontal="center"/>
    </x:xf>
    <x:xf numFmtId="0" fontId="92" fillId="66" borderId="20" xfId="0"/>
    <x:xf numFmtId="3" fontId="92" fillId="66" borderId="20" xfId="0" applyAlignment="1">
      <x:alignment horizontal="right"/>
    </x:xf>
    <x:xf numFmtId="0" fontId="93" fillId="65" borderId="20" xfId="0"/>
    <x:xf numFmtId="0" fontId="91" fillId="67" borderId="20" xfId="0" applyAlignment="1">
      <x:alignment horizontal="center" vertical="center"/>
    </x:xf>
    <x:xf numFmtId="0" fontId="94" fillId="68" borderId="20" xfId="0" applyAlignment="1">
      <x:alignment horizontal="center"/>
    </x:xf>
    <x:xf numFmtId="0" fontId="95" fillId="68" borderId="20" xfId="0" applyAlignment="1">
      <x:alignment horizontal="center"/>
    </x:xf>
    <x:xf numFmtId="0" fontId="92" fillId="68" borderId="20" xfId="0" applyAlignment="1">
      <x:alignment vertical="center" wrapText="1"/>
    </x:xf>
    <x:xf numFmtId="0" fontId="96" fillId="69" borderId="23" xfId="0" applyAlignment="1">
      <x:alignment horizontal="center" vertical="center"/>
    </x:xf>
    <x:xf numFmtId="0" fontId="92" fillId="66" borderId="20" xfId="0" applyAlignment="1">
      <x:alignment horizontal="center" vertical="center"/>
    </x:xf>
    <x:xf numFmtId="0" fontId="97" fillId="66" borderId="20" xfId="0" applyAlignment="1">
      <x:alignment vertical="center"/>
    </x:xf>
    <x:xf numFmtId="0" fontId="98" fillId="65" borderId="0" xfId="0"/>
    <x:xf numFmtId="0" fontId="94" fillId="70" borderId="20" xfId="0" applyAlignment="1">
      <x:alignment horizontal="center"/>
    </x:xf>
    <x:xf numFmtId="0" fontId="95" fillId="70" borderId="20" xfId="0" applyAlignment="1">
      <x:alignment horizontal="center"/>
    </x:xf>
    <x:xf numFmtId="0" fontId="92" fillId="70" borderId="20" xfId="0" applyAlignment="1">
      <x:alignment vertical="center" wrapText="1"/>
    </x:xf>
    <x:xf numFmtId="0" fontId="94" fillId="71" borderId="20" xfId="0" applyAlignment="1">
      <x:alignment horizontal="center"/>
    </x:xf>
    <x:xf numFmtId="0" fontId="95" fillId="71" borderId="20" xfId="0" applyAlignment="1">
      <x:alignment horizontal="center"/>
    </x:xf>
    <x:xf numFmtId="0" fontId="92" fillId="71" borderId="20" xfId="0" applyAlignment="1">
      <x:alignment vertical="center" wrapText="1"/>
    </x:xf>
    <x:xf numFmtId="0" fontId="94" fillId="72" borderId="20" xfId="0" applyAlignment="1">
      <x:alignment horizontal="center"/>
    </x:xf>
    <x:xf numFmtId="0" fontId="95" fillId="72" borderId="20" xfId="0" applyAlignment="1">
      <x:alignment horizontal="center"/>
    </x:xf>
    <x:xf numFmtId="0" fontId="92" fillId="72" borderId="20" xfId="0" applyAlignment="1">
      <x:alignment vertical="center" wrapText="1"/>
    </x:xf>
    <x:xf numFmtId="0" fontId="99" fillId="65" borderId="20" xfId="0" applyAlignment="1">
      <x:alignment horizontal="right"/>
    </x:xf>
    <x:xf numFmtId="0" fontId="100" fillId="65" borderId="20" xfId="0" applyAlignment="1">
      <x:alignment horizontal="center"/>
    </x:xf>
    <x:xf numFmtId="0" fontId="92" fillId="66" borderId="20" xfId="0" applyAlignment="1">
      <x:alignment horizontal="left"/>
    </x:xf>
    <x:xf numFmtId="0" fontId="92" fillId="66" borderId="20" xfId="0" applyAlignment="1">
      <x:alignment horizontal="right"/>
    </x:xf>
    <x:xf numFmtId="0" fontId="92" fillId="68" borderId="20" xfId="0" applyAlignment="1">
      <x:alignment wrapText="1"/>
    </x:xf>
    <x:xf numFmtId="0" fontId="96" fillId="69" borderId="23" xfId="0" applyAlignment="1">
      <x:alignment horizontal="center"/>
    </x:xf>
    <x:xf numFmtId="0" fontId="92" fillId="66" borderId="20" xfId="0" applyAlignment="1">
      <x:alignment horizontal="center"/>
    </x:xf>
    <x:xf numFmtId="0" fontId="97" fillId="66" borderId="20" xfId="0"/>
    <x:xf numFmtId="0" fontId="101" fillId="65" borderId="0" xfId="0"/>
    <x:xf numFmtId="0" fontId="92" fillId="70" borderId="20" xfId="0" applyAlignment="1">
      <x:alignment wrapText="1"/>
    </x:xf>
    <x:xf numFmtId="0" fontId="92" fillId="71" borderId="20" xfId="0" applyAlignment="1">
      <x:alignment wrapText="1"/>
    </x:xf>
    <x:xf numFmtId="0" fontId="92" fillId="72" borderId="20" xfId="0" applyAlignment="1">
      <x:alignment wrapText="1"/>
    </x:xf>
    <x:xf numFmtId="0" fontId="102" fillId="65" borderId="0" xfId="0"/>
    <x:xf numFmtId="0" fontId="90" fillId="65" borderId="0" xfId="0"/>
    <x:xf numFmtId="0" fontId="103" fillId="65" borderId="0" xfId="0"/>
    <x:xf numFmtId="0" fontId="104" fillId="67" borderId="0" xfId="0"/>
    <x:xf numFmtId="0" fontId="105" fillId="66" borderId="0" xfId="0"/>
    <x:xf numFmtId="0" fontId="106" fillId="73" borderId="0" xfId="0"/>
    <x:xf numFmtId="0" fontId="105" fillId="67" borderId="0" xfId="0"/>
    <x:xf numFmtId="0" fontId="107" fillId="73" borderId="0" xfId="0"/>
    <x:xf numFmtId="0" fontId="108" fillId="69" borderId="23" xfId="0"/>
    <x:xf numFmtId="0" fontId="109" fillId="73" borderId="0" xfId="0"/>
    <x:xf numFmtId="0" fontId="110" fillId="73" borderId="0" xfId="0"/>
    <x:xf numFmtId="0" fontId="108" fillId="73" borderId="0" xfId="0"/>
    <x:xf numFmtId="0" fontId="111" fillId="73" borderId="0" xfId="0"/>
    <x:xf numFmtId="0" fontId="104" fillId="65" borderId="0" xfId="0"/>
    <x:xf numFmtId="0" fontId="112" fillId="65" borderId="0" xfId="0"/>
    <x:xf numFmtId="0" fontId="0" fillId="74" borderId="0" xfId="0" applyNumberFormat="1" applyFont="1" applyFill="1" applyBorder="1"/>
    <x:xf numFmtId="0" fontId="0" fillId="0" borderId="26" xfId="0" applyNumberFormat="1" applyFont="1" applyFill="1" applyBorder="1"/>
    <x:xf numFmtId="0" fontId="1" fillId="2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2" fillId="0" borderId="26" xfId="0" applyNumberFormat="1" applyFont="1" applyFill="1" applyBorder="1" applyAlignment="1">
      <x:alignment horizontal="center"/>
    </x:xf>
    <x:xf numFmtId="0" fontId="3" fillId="3" borderId="27" xfId="0" applyNumberFormat="1" applyFont="1" applyFill="1" applyBorder="1" applyAlignment="1">
      <x:alignment horizontal="left" vertical="center"/>
    </x:xf>
    <x:xf numFmtId="0" fontId="4" fillId="4" borderId="27" xfId="0" applyNumberFormat="1" applyFont="1" applyFill="1" applyBorder="1" applyAlignment="1">
      <x:alignment horizontal="left" vertical="center" wrapText="1"/>
    </x:xf>
    <x:xf numFmtId="0" fontId="5" fillId="0" borderId="27" xfId="0" applyNumberFormat="1" applyFont="1" applyFill="1" applyBorder="1" applyAlignment="1">
      <x:alignment horizontal="left" vertical="center" wrapText="1"/>
    </x:xf>
    <x:xf numFmtId="0" fontId="6" fillId="5" borderId="27" xfId="0" applyNumberFormat="1" applyFont="1" applyFill="1" applyBorder="1" applyAlignment="1">
      <x:alignment horizontal="left" vertical="center" wrapText="1"/>
    </x:xf>
    <x:xf numFmtId="0" fontId="7" fillId="4" borderId="27" xfId="0" applyNumberFormat="1" applyFont="1" applyFill="1" applyBorder="1" applyAlignment="1">
      <x:alignment horizontal="left" vertical="center" wrapText="1"/>
    </x:xf>
    <x:xf numFmtId="0" fontId="8" fillId="6" borderId="20" xfId="0" applyNumberFormat="1" applyFont="1" applyFill="1" applyBorder="1" applyAlignment="1">
      <x:alignment horizontal="left" vertical="center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9" fillId="7" borderId="20" xfId="0" applyNumberFormat="1" applyFont="1" applyFill="1" applyBorder="1" applyAlignment="1">
      <x:alignment horizontal="center" vertical="center"/>
    </x:xf>
    <x:xf numFmtId="0" fontId="10" fillId="8" borderId="20" xfId="0" applyNumberFormat="1" applyFont="1" applyFill="1" applyBorder="1" applyAlignment="1">
      <x:alignment horizontal="center" vertical="center"/>
    </x:xf>
    <x:xf numFmtId="0" fontId="11" fillId="8" borderId="20" xfId="0" applyNumberFormat="1" applyFont="1" applyFill="1" applyBorder="1" applyAlignment="1">
      <x:alignment horizontal="center" vertical="center"/>
    </x:xf>
    <x:xf numFmtId="0" fontId="12" fillId="8" borderId="20" xfId="0" applyNumberFormat="1" applyFont="1" applyFill="1" applyBorder="1" applyAlignment="1">
      <x:alignment horizontal="center" vertical="center"/>
    </x:xf>
    <x:xf numFmtId="0" fontId="13" fillId="8" borderId="20" xfId="0" applyNumberFormat="1" applyFont="1" applyFill="1" applyBorder="1" applyAlignment="1">
      <x:alignment vertical="center" wrapText="1"/>
    </x:xf>
    <x:xf numFmtId="0" fontId="10" fillId="9" borderId="20" xfId="0" applyNumberFormat="1" applyFont="1" applyFill="1" applyBorder="1" applyAlignment="1">
      <x:alignment horizontal="center" vertical="center"/>
    </x:xf>
    <x:xf numFmtId="0" fontId="11" fillId="9" borderId="20" xfId="0" applyNumberFormat="1" applyFont="1" applyFill="1" applyBorder="1" applyAlignment="1">
      <x:alignment horizontal="center" vertical="center"/>
    </x:xf>
    <x:xf numFmtId="0" fontId="12" fillId="9" borderId="20" xfId="0" applyNumberFormat="1" applyFont="1" applyFill="1" applyBorder="1" applyAlignment="1">
      <x:alignment horizontal="center" vertical="center"/>
    </x:xf>
    <x:xf numFmtId="0" fontId="13" fillId="9" borderId="20" xfId="0" applyNumberFormat="1" applyFont="1" applyFill="1" applyBorder="1" applyAlignment="1">
      <x:alignment vertical="center" wrapText="1"/>
    </x:xf>
    <x:xf numFmtId="0" fontId="10" fillId="10" borderId="20" xfId="0" applyNumberFormat="1" applyFont="1" applyFill="1" applyBorder="1" applyAlignment="1">
      <x:alignment horizontal="center" vertical="center"/>
    </x:xf>
    <x:xf numFmtId="0" fontId="11" fillId="10" borderId="20" xfId="0" applyNumberFormat="1" applyFont="1" applyFill="1" applyBorder="1" applyAlignment="1">
      <x:alignment horizontal="center" vertical="center"/>
    </x:xf>
    <x:xf numFmtId="0" fontId="12" fillId="10" borderId="20" xfId="0" applyNumberFormat="1" applyFont="1" applyFill="1" applyBorder="1" applyAlignment="1">
      <x:alignment horizontal="center" vertical="center"/>
    </x:xf>
    <x:xf numFmtId="0" fontId="13" fillId="10" borderId="20" xfId="0" applyNumberFormat="1" applyFont="1" applyFill="1" applyBorder="1" applyAlignment="1">
      <x:alignment vertical="center" wrapText="1"/>
    </x:xf>
    <x:xf numFmtId="0" fontId="10" fillId="11" borderId="20" xfId="0" applyNumberFormat="1" applyFont="1" applyFill="1" applyBorder="1" applyAlignment="1">
      <x:alignment horizontal="center" vertical="center"/>
    </x:xf>
    <x:xf numFmtId="0" fontId="11" fillId="11" borderId="20" xfId="0" applyNumberFormat="1" applyFont="1" applyFill="1" applyBorder="1" applyAlignment="1">
      <x:alignment horizontal="center" vertical="center"/>
    </x:xf>
    <x:xf numFmtId="0" fontId="12" fillId="11" borderId="20" xfId="0" applyNumberFormat="1" applyFont="1" applyFill="1" applyBorder="1" applyAlignment="1">
      <x:alignment horizontal="center" vertical="center"/>
    </x:xf>
    <x:xf numFmtId="0" fontId="13" fillId="11" borderId="20" xfId="0" applyNumberFormat="1" applyFont="1" applyFill="1" applyBorder="1" applyAlignment="1">
      <x:alignment vertical="center" wrapText="1"/>
    </x:xf>
    <x:xf numFmtId="0" fontId="14" fillId="12" borderId="27" xfId="0" applyNumberFormat="1" applyFont="1" applyFill="1" applyBorder="1" applyAlignment="1">
      <x:alignment horizontal="center" vertical="center" wrapText="1"/>
    </x:xf>
    <x:xf numFmtId="0" fontId="15" fillId="0" borderId="27" xfId="0" applyNumberFormat="1" applyFont="1" applyFill="1" applyBorder="1" applyAlignment="1">
      <x:alignment horizontal="left" vertical="center" wrapText="1"/>
    </x:xf>
    <x:xf numFmtId="0" fontId="16" fillId="2" borderId="27" xfId="0" applyNumberFormat="1" applyFont="1" applyFill="1" applyBorder="1" applyAlignment="1">
      <x:alignment horizontal="center" vertical="center" wrapText="1"/>
    </x:xf>
    <x:xf numFmtId="0" fontId="17" fillId="5" borderId="27" xfId="0" applyNumberFormat="1" applyFont="1" applyFill="1" applyBorder="1" applyAlignment="1">
      <x:alignment horizontal="left" vertical="center" wrapText="1"/>
    </x:xf>
    <x:xf numFmtId="0" fontId="18" fillId="13" borderId="27" xfId="0" applyNumberFormat="1" applyFont="1" applyFill="1" applyBorder="1" applyAlignment="1">
      <x:alignment horizontal="center" vertical="center" wrapText="1"/>
    </x:xf>
    <x:xf numFmtId="0" fontId="21" fillId="14" borderId="32" xfId="0" applyNumberFormat="1" applyFont="1" applyFill="1" applyBorder="1" applyAlignment="1">
      <x:alignment horizontal="center" vertical="center" wrapText="1"/>
    </x:xf>
    <x:xf numFmtId="0" fontId="3" fillId="3" borderId="32" xfId="0" applyNumberFormat="1" applyFont="1" applyFill="1" applyBorder="1" applyAlignment="1">
      <x:alignment horizontal="left" vertical="center"/>
    </x:xf>
    <x:xf numFmtId="0" fontId="22" fillId="15" borderId="27" xfId="0" applyNumberFormat="1" applyFont="1" applyFill="1" applyBorder="1" applyAlignment="1">
      <x:alignment horizontal="center" vertical="center" wrapText="1"/>
    </x:xf>
    <x:xf numFmtId="0" fontId="15" fillId="16" borderId="27" xfId="0" applyNumberFormat="1" applyFont="1" applyFill="1" applyBorder="1" applyAlignment="1">
      <x:alignment horizontal="center" vertical="center"/>
    </x:xf>
    <x:xf numFmtId="0" fontId="5" fillId="16" borderId="27" xfId="0" applyNumberFormat="1" applyFont="1" applyFill="1" applyBorder="1" applyAlignment="1">
      <x:alignment horizontal="left" vertical="center"/>
    </x:xf>
    <x:xf numFmtId="0" fontId="15" fillId="16" borderId="27" xfId="0" applyNumberFormat="1" applyFont="1" applyFill="1" applyBorder="1" applyAlignment="1">
      <x:alignment horizontal="left" vertical="center"/>
    </x:xf>
    <x:xf numFmtId="0" fontId="15" fillId="0" borderId="27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left" vertical="center"/>
    </x:xf>
    <x:xf numFmtId="0" fontId="15" fillId="0" borderId="27" xfId="0" applyNumberFormat="1" applyFont="1" applyFill="1" applyBorder="1" applyAlignment="1">
      <x:alignment horizontal="left" vertical="center"/>
    </x:xf>
    <x:xf numFmtId="0" fontId="23" fillId="15" borderId="27" xfId="0" applyNumberFormat="1" applyFont="1" applyFill="1" applyBorder="1" applyAlignment="1">
      <x:alignment horizontal="center" vertical="center" wrapText="1"/>
    </x:xf>
    <x:xf numFmtId="0" fontId="24" fillId="8" borderId="27" xfId="0" applyNumberFormat="1" applyFont="1" applyFill="1" applyBorder="1" applyAlignment="1">
      <x:alignment horizontal="center" vertical="center" wrapText="1"/>
    </x:xf>
    <x:xf numFmtId="0" fontId="13" fillId="8" borderId="27" xfId="0" applyNumberFormat="1" applyFont="1" applyFill="1" applyBorder="1" applyAlignment="1">
      <x:alignment horizontal="center" vertical="center" wrapText="1"/>
    </x:xf>
    <x:xf numFmtId="0" fontId="25" fillId="8" borderId="27" xfId="0" applyNumberFormat="1" applyFont="1" applyFill="1" applyBorder="1" applyAlignment="1">
      <x:alignment horizontal="left" vertical="center" wrapText="1"/>
    </x:xf>
    <x:xf numFmtId="0" fontId="24" fillId="9" borderId="27" xfId="0" applyNumberFormat="1" applyFont="1" applyFill="1" applyBorder="1" applyAlignment="1">
      <x:alignment horizontal="center" vertical="center" wrapText="1"/>
    </x:xf>
    <x:xf numFmtId="0" fontId="13" fillId="9" borderId="27" xfId="0" applyNumberFormat="1" applyFont="1" applyFill="1" applyBorder="1" applyAlignment="1">
      <x:alignment horizontal="center" vertical="center" wrapText="1"/>
    </x:xf>
    <x:xf numFmtId="0" fontId="25" fillId="9" borderId="27" xfId="0" applyNumberFormat="1" applyFont="1" applyFill="1" applyBorder="1" applyAlignment="1">
      <x:alignment horizontal="left" vertical="center" wrapText="1"/>
    </x:xf>
    <x:xf numFmtId="0" fontId="24" fillId="10" borderId="27" xfId="0" applyNumberFormat="1" applyFont="1" applyFill="1" applyBorder="1" applyAlignment="1">
      <x:alignment horizontal="center" vertical="center" wrapText="1"/>
    </x:xf>
    <x:xf numFmtId="0" fontId="13" fillId="10" borderId="27" xfId="0" applyNumberFormat="1" applyFont="1" applyFill="1" applyBorder="1" applyAlignment="1">
      <x:alignment horizontal="center" vertical="center" wrapText="1"/>
    </x:xf>
    <x:xf numFmtId="0" fontId="25" fillId="10" borderId="27" xfId="0" applyNumberFormat="1" applyFont="1" applyFill="1" applyBorder="1" applyAlignment="1">
      <x:alignment horizontal="left" vertical="center" wrapText="1"/>
    </x:xf>
    <x:xf numFmtId="0" fontId="13" fillId="10" borderId="27" xfId="0" applyNumberFormat="1" applyFont="1" applyFill="1" applyBorder="1" applyAlignment="1">
      <x:alignment horizontal="left" vertical="center" wrapText="1"/>
    </x:xf>
    <x:xf numFmtId="0" fontId="24" fillId="11" borderId="27" xfId="0" applyNumberFormat="1" applyFont="1" applyFill="1" applyBorder="1" applyAlignment="1">
      <x:alignment horizontal="center" vertical="center" wrapText="1"/>
    </x:xf>
    <x:xf numFmtId="0" fontId="13" fillId="11" borderId="27" xfId="0" applyNumberFormat="1" applyFont="1" applyFill="1" applyBorder="1" applyAlignment="1">
      <x:alignment horizontal="center" vertical="center" wrapText="1"/>
    </x:xf>
    <x:xf numFmtId="0" fontId="13" fillId="11" borderId="27" xfId="0" applyNumberFormat="1" applyFont="1" applyFill="1" applyBorder="1" applyAlignment="1">
      <x:alignment horizontal="left" vertical="center" wrapText="1"/>
    </x:xf>
    <x:xf numFmtId="3" fontId="15" fillId="16" borderId="27" xfId="0" applyNumberFormat="1" applyFont="1" applyFill="1" applyBorder="1" applyAlignment="1">
      <x:alignment horizontal="right" vertical="center"/>
    </x:xf>
    <x:xf numFmtId="0" fontId="15" fillId="16" borderId="27" xfId="0" applyNumberFormat="1" applyFont="1" applyFill="1" applyBorder="1" applyAlignment="1">
      <x:alignment horizontal="right" vertical="center"/>
    </x:xf>
    <x:xf numFmtId="3" fontId="15" fillId="0" borderId="27" xfId="0" applyNumberFormat="1" applyFont="1" applyFill="1" applyBorder="1" applyAlignment="1">
      <x:alignment horizontal="right" vertical="center"/>
    </x:xf>
    <x:xf numFmtId="0" fontId="15" fillId="0" borderId="27" xfId="0" applyNumberFormat="1" applyFont="1" applyFill="1" applyBorder="1" applyAlignment="1">
      <x:alignment horizontal="right" vertical="center"/>
    </x:xf>
    <x:xf numFmtId="0" fontId="26" fillId="8" borderId="27" xfId="0" applyNumberFormat="1" applyFont="1" applyFill="1" applyBorder="1" applyAlignment="1">
      <x:alignment horizontal="left" vertical="center" wrapText="1"/>
    </x:xf>
    <x:xf numFmtId="0" fontId="0" fillId="8" borderId="27" xfId="0" applyNumberFormat="1" applyFont="1" applyFill="1" applyBorder="1"/>
    <x:xf numFmtId="0" fontId="27" fillId="8" borderId="27" xfId="0" applyNumberFormat="1" applyFont="1" applyFill="1" applyBorder="1" applyAlignment="1">
      <x:alignment horizontal="left" vertical="center" wrapText="1"/>
    </x:xf>
    <x:xf numFmtId="0" fontId="17" fillId="8" borderId="27" xfId="0" applyNumberFormat="1" applyFont="1" applyFill="1" applyBorder="1" applyAlignment="1">
      <x:alignment horizontal="left" vertical="center" wrapText="1"/>
    </x:xf>
    <x:xf numFmtId="0" fontId="26" fillId="9" borderId="27" xfId="0" applyNumberFormat="1" applyFont="1" applyFill="1" applyBorder="1" applyAlignment="1">
      <x:alignment horizontal="left" vertical="center" wrapText="1"/>
    </x:xf>
    <x:xf numFmtId="0" fontId="0" fillId="9" borderId="27" xfId="0" applyNumberFormat="1" applyFont="1" applyFill="1" applyBorder="1"/>
    <x:xf numFmtId="0" fontId="27" fillId="9" borderId="27" xfId="0" applyNumberFormat="1" applyFont="1" applyFill="1" applyBorder="1" applyAlignment="1">
      <x:alignment horizontal="left" vertical="center" wrapText="1"/>
    </x:xf>
    <x:xf numFmtId="0" fontId="17" fillId="9" borderId="27" xfId="0" applyNumberFormat="1" applyFont="1" applyFill="1" applyBorder="1" applyAlignment="1">
      <x:alignment horizontal="left" vertical="center" wrapText="1"/>
    </x:xf>
    <x:xf numFmtId="0" fontId="26" fillId="10" borderId="27" xfId="0" applyNumberFormat="1" applyFont="1" applyFill="1" applyBorder="1" applyAlignment="1">
      <x:alignment horizontal="left" vertical="center" wrapText="1"/>
    </x:xf>
    <x:xf numFmtId="0" fontId="0" fillId="10" borderId="27" xfId="0" applyNumberFormat="1" applyFont="1" applyFill="1" applyBorder="1"/>
    <x:xf numFmtId="0" fontId="27" fillId="10" borderId="27" xfId="0" applyNumberFormat="1" applyFont="1" applyFill="1" applyBorder="1" applyAlignment="1">
      <x:alignment horizontal="left" vertical="center" wrapText="1"/>
    </x:xf>
    <x:xf numFmtId="0" fontId="17" fillId="10" borderId="27" xfId="0" applyNumberFormat="1" applyFont="1" applyFill="1" applyBorder="1" applyAlignment="1">
      <x:alignment horizontal="left" vertical="center" wrapText="1"/>
    </x:xf>
    <x:xf numFmtId="0" fontId="28" fillId="10" borderId="27" xfId="0" applyNumberFormat="1" applyFont="1" applyFill="1" applyBorder="1" applyAlignment="1">
      <x:alignment horizontal="left" vertical="center" wrapText="1"/>
    </x:xf>
    <x:xf numFmtId="0" fontId="6" fillId="10" borderId="27" xfId="0" applyNumberFormat="1" applyFont="1" applyFill="1" applyBorder="1" applyAlignment="1">
      <x:alignment horizontal="left" vertical="center" wrapText="1"/>
    </x:xf>
    <x:xf numFmtId="0" fontId="26" fillId="11" borderId="27" xfId="0" applyNumberFormat="1" applyFont="1" applyFill="1" applyBorder="1" applyAlignment="1">
      <x:alignment horizontal="left" vertical="center" wrapText="1"/>
    </x:xf>
    <x:xf numFmtId="0" fontId="0" fillId="11" borderId="27" xfId="0" applyNumberFormat="1" applyFont="1" applyFill="1" applyBorder="1"/>
    <x:xf numFmtId="0" fontId="27" fillId="11" borderId="27" xfId="0" applyNumberFormat="1" applyFont="1" applyFill="1" applyBorder="1" applyAlignment="1">
      <x:alignment horizontal="left" vertical="center" wrapText="1"/>
    </x:xf>
    <x:xf numFmtId="0" fontId="6" fillId="11" borderId="27" xfId="0" applyNumberFormat="1" applyFont="1" applyFill="1" applyBorder="1" applyAlignment="1">
      <x:alignment horizontal="left" vertical="center" wrapText="1"/>
    </x:xf>
    <x:xf numFmtId="0" fontId="29" fillId="14" borderId="32" xfId="0" applyNumberFormat="1" applyFont="1" applyFill="1" applyBorder="1" applyAlignment="1">
      <x:alignment horizontal="center" vertical="center" wrapText="1"/>
    </x:xf>
    <x:xf numFmtId="0" fontId="30" fillId="2" borderId="27" xfId="0" applyNumberFormat="1" applyFont="1" applyFill="1" applyBorder="1" applyAlignment="1">
      <x:alignment horizontal="left" vertical="center" wrapText="1"/>
    </x:xf>
    <x:xf numFmtId="0" fontId="3" fillId="14" borderId="32" xfId="0" applyNumberFormat="1" applyFont="1" applyFill="1" applyBorder="1" applyAlignment="1">
      <x:alignment horizontal="left" vertical="center"/>
    </x:xf>
    <x:xf numFmtId="0" fontId="15" fillId="14" borderId="27" xfId="0" applyNumberFormat="1" applyFont="1" applyFill="1" applyBorder="1" applyAlignment="1">
      <x:alignment horizontal="center" vertical="center" wrapText="1"/>
    </x:xf>
    <x:xf numFmtId="0" fontId="31" fillId="18" borderId="32" xfId="0" applyNumberFormat="1" applyFont="1" applyFill="1" applyBorder="1" applyAlignment="1">
      <x:alignment horizontal="left" vertical="center"/>
    </x:xf>
    <x:xf numFmtId="0" fontId="6" fillId="5" borderId="32" xfId="0" applyNumberFormat="1" applyFont="1" applyFill="1" applyBorder="1" applyAlignment="1">
      <x:alignment horizontal="left" vertical="center" wrapText="1"/>
    </x:xf>
    <x:xf numFmtId="0" fontId="17" fillId="5" borderId="32" xfId="0" applyNumberFormat="1" applyFont="1" applyFill="1" applyBorder="1" applyAlignment="1">
      <x:alignment horizontal="left" vertical="center" wrapText="1"/>
    </x:xf>
    <x:xf numFmtId="0" fontId="8" fillId="6" borderId="20" xfId="0" applyNumberFormat="1" applyFont="1" applyFill="1" applyBorder="1"/>
    <x:xf numFmtId="0" fontId="16" fillId="2" borderId="32" xfId="0" applyNumberFormat="1" applyFont="1" applyFill="1" applyBorder="1" applyAlignment="1">
      <x:alignment horizontal="center" vertical="center" wrapText="1"/>
    </x:xf>
    <x:xf numFmtId="0" fontId="3" fillId="2" borderId="32" xfId="0" applyNumberFormat="1" applyFont="1" applyFill="1" applyBorder="1" applyAlignment="1">
      <x:alignment horizontal="left" vertical="center"/>
    </x:xf>
    <x:xf numFmtId="0" fontId="15" fillId="2" borderId="27" xfId="0" applyNumberFormat="1" applyFont="1" applyFill="1" applyBorder="1" applyAlignment="1">
      <x:alignment horizontal="center" vertical="center" wrapText="1"/>
    </x:xf>
    <x:xf numFmtId="0" fontId="32" fillId="13" borderId="32" xfId="0" applyNumberFormat="1" applyFont="1" applyFill="1" applyBorder="1" applyAlignment="1">
      <x:alignment horizontal="center" vertical="center" wrapText="1"/>
    </x:xf>
    <x:xf numFmtId="0" fontId="15" fillId="0" borderId="32" xfId="0" applyNumberFormat="1" applyFont="1" applyFill="1" applyBorder="1" applyAlignment="1">
      <x:alignment horizontal="left" vertical="center" wrapText="1"/>
    </x:xf>
    <x:xf numFmtId="0" fontId="3" fillId="13" borderId="32" xfId="0" applyNumberFormat="1" applyFont="1" applyFill="1" applyBorder="1" applyAlignment="1">
      <x:alignment horizontal="left" vertical="center"/>
    </x:xf>
    <x:xf numFmtId="0" fontId="15" fillId="13" borderId="27" xfId="0" applyNumberFormat="1" applyFont="1" applyFill="1" applyBorder="1" applyAlignment="1">
      <x:alignment horizontal="center" vertical="center" wrapText="1"/>
    </x:xf>
    <x:xf numFmtId="0" fontId="1" fillId="2" borderId="32" xfId="0" applyNumberFormat="1" applyFont="1" applyFill="1" applyBorder="1" applyAlignment="1">
      <x:alignment horizontal="center" vertical="center" wrapText="1"/>
    </x:xf>
    <x:xf numFmtId="0" fontId="10" fillId="8" borderId="27" xfId="0" applyNumberFormat="1" applyFont="1" applyFill="1" applyBorder="1" applyAlignment="1">
      <x:alignment horizontal="center" vertical="center"/>
    </x:xf>
    <x:xf numFmtId="0" fontId="10" fillId="9" borderId="27" xfId="0" applyNumberFormat="1" applyFont="1" applyFill="1" applyBorder="1" applyAlignment="1">
      <x:alignment horizontal="center" vertical="center"/>
    </x:xf>
    <x:xf numFmtId="0" fontId="10" fillId="10" borderId="27" xfId="0" applyNumberFormat="1" applyFont="1" applyFill="1" applyBorder="1" applyAlignment="1">
      <x:alignment horizontal="center" vertical="center"/>
    </x:xf>
    <x:xf numFmtId="0" fontId="10" fillId="11" borderId="27" xfId="0" applyNumberFormat="1" applyFont="1" applyFill="1" applyBorder="1" applyAlignment="1">
      <x:alignment horizontal="center" vertical="center"/>
    </x:xf>
    <x:xf numFmtId="0" fontId="25" fillId="11" borderId="27" xfId="0" applyNumberFormat="1" applyFont="1" applyFill="1" applyBorder="1" applyAlignment="1">
      <x:alignment horizontal="left" vertical="center" wrapText="1"/>
    </x:xf>
    <x:xf numFmtId="0" fontId="6" fillId="9" borderId="27" xfId="0" applyNumberFormat="1" applyFont="1" applyFill="1" applyBorder="1" applyAlignment="1">
      <x:alignment horizontal="left" vertical="center" wrapText="1"/>
    </x:xf>
    <x:xf numFmtId="0" fontId="17" fillId="11" borderId="27" xfId="0" applyNumberFormat="1" applyFont="1" applyFill="1" applyBorder="1" applyAlignment="1">
      <x:alignment horizontal="left" vertical="center" wrapText="1"/>
    </x:xf>
    <x:xf numFmtId="0" fontId="18" fillId="13" borderId="32" xfId="0" applyNumberFormat="1" applyFont="1" applyFill="1" applyBorder="1" applyAlignment="1">
      <x:alignment horizontal="center" vertical="center" wrapText="1"/>
    </x:xf>
    <x:xf numFmtId="0" fontId="5" fillId="16" borderId="27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6" fillId="8" borderId="27" xfId="0" applyNumberFormat="1" applyFont="1" applyFill="1" applyBorder="1" applyAlignment="1">
      <x:alignment horizontal="left" vertical="center" wrapText="1"/>
    </x:xf>
    <x:xf numFmtId="0" fontId="28" fillId="11" borderId="27" xfId="0" applyNumberFormat="1" applyFont="1" applyFill="1" applyBorder="1" applyAlignment="1">
      <x:alignment horizontal="left" vertical="center" wrapText="1"/>
    </x:xf>
    <x:xf numFmtId="0" fontId="33" fillId="11" borderId="27" xfId="0" applyNumberFormat="1" applyFont="1" applyFill="1" applyBorder="1" applyAlignment="1">
      <x:alignment horizontal="left" vertical="center" wrapText="1"/>
    </x:xf>
    <x:xf numFmtId="0" fontId="14" fillId="12" borderId="32" xfId="0" applyNumberFormat="1" applyFont="1" applyFill="1" applyBorder="1" applyAlignment="1">
      <x:alignment horizontal="center" vertical="center" wrapText="1"/>
    </x:xf>
    <x:xf numFmtId="0" fontId="34" fillId="19" borderId="32" xfId="0" applyNumberFormat="1" applyFont="1" applyFill="1" applyBorder="1" applyAlignment="1">
      <x:alignment horizontal="center" vertical="center" wrapText="1"/>
    </x:xf>
    <x:xf numFmtId="0" fontId="35" fillId="19" borderId="27" xfId="0" applyNumberFormat="1" applyFont="1" applyFill="1" applyBorder="1" applyAlignment="1">
      <x:alignment horizontal="center" vertical="center" wrapText="1"/>
    </x:xf>
    <x:xf numFmtId="0" fontId="36" fillId="0" borderId="26" xfId="0" applyNumberFormat="1" applyFont="1" applyFill="1" applyBorder="1" applyAlignment="1">
      <x:alignment horizontal="center"/>
    </x:xf>
    <x:xf numFmtId="0" fontId="7" fillId="13" borderId="27" xfId="0" applyNumberFormat="1" applyFont="1" applyFill="1" applyBorder="1" applyAlignment="1">
      <x:alignment horizontal="left" vertical="center" wrapText="1"/>
    </x:xf>
    <x:xf numFmtId="0" fontId="38" fillId="3" borderId="27" xfId="0" applyNumberFormat="1" applyFont="1" applyFill="1" applyBorder="1" applyAlignment="1">
      <x:alignment horizontal="left" vertical="center"/>
    </x:xf>
    <x:xf numFmtId="0" fontId="7" fillId="4" borderId="27" xfId="0" applyNumberFormat="1" applyFont="1" applyFill="1" applyBorder="1" applyAlignment="1">
      <x:alignment horizontal="center" vertical="center" wrapText="1"/>
    </x:xf>
    <x:xf numFmtId="0" fontId="42" fillId="26" borderId="26" xfId="0" applyNumberFormat="1" applyFont="1" applyFill="1" applyBorder="1" applyAlignment="1">
      <x:alignment horizontal="center" vertical="center"/>
    </x:xf>
    <x:xf numFmtId="0" fontId="43" fillId="0" borderId="26" xfId="0" applyNumberFormat="1" applyFont="1" applyFill="1" applyBorder="1" applyAlignment="1">
      <x:alignment vertical="center" wrapText="1"/>
    </x:xf>
    <x:xf numFmtId="0" fontId="44" fillId="0" borderId="26" xfId="0" applyNumberFormat="1" applyFont="1" applyFill="1" applyBorder="1" applyAlignment="1">
      <x:alignment vertical="center" wrapText="1"/>
    </x:xf>
    <x:xf numFmtId="0" fontId="44" fillId="8" borderId="26" xfId="0" applyNumberFormat="1" applyFont="1" applyFill="1" applyBorder="1" applyAlignment="1">
      <x:alignment horizontal="center"/>
    </x:xf>
    <x:xf numFmtId="0" fontId="7" fillId="0" borderId="26" xfId="0" applyNumberFormat="1" applyFont="1" applyFill="1" applyBorder="1"/>
    <x:xf numFmtId="0" fontId="15" fillId="0" borderId="26" xfId="0" applyNumberFormat="1" applyFont="1" applyFill="1" applyBorder="1" applyAlignment="1">
      <x:alignment wrapText="1"/>
    </x:xf>
    <x:xf numFmtId="0" fontId="45" fillId="10" borderId="26" xfId="0" applyNumberFormat="1" applyFont="1" applyFill="1" applyBorder="1" applyAlignment="1">
      <x:alignment horizontal="center"/>
    </x:xf>
    <x:xf numFmtId="0" fontId="46" fillId="27" borderId="26" xfId="0" applyNumberFormat="1" applyFont="1" applyFill="1" applyBorder="1" applyAlignment="1">
      <x:alignment horizontal="center"/>
    </x:xf>
    <x:xf numFmtId="0" fontId="47" fillId="0" borderId="26" xfId="0" applyNumberFormat="1" applyFont="1" applyFill="1" applyBorder="1"/>
    <x:xf numFmtId="0" fontId="48" fillId="6" borderId="20" xfId="0" applyNumberFormat="1" applyFont="1" applyFill="1" applyBorder="1" applyAlignment="1">
      <x:alignment horizontal="left" vertical="center"/>
    </x:xf>
    <x:xf numFmtId="0" fontId="0" fillId="0" borderId="20" xfId="0" applyNumberFormat="1" applyFont="1" applyFill="1" applyBorder="1"/>
    <x:xf numFmtId="0" fontId="49" fillId="6" borderId="20" xfId="0" applyNumberFormat="1" applyFont="1" applyFill="1" applyBorder="1" applyAlignment="1">
      <x:alignment vertical="center" wrapText="1"/>
    </x:xf>
    <x:xf numFmtId="0" fontId="10" fillId="10" borderId="20" xfId="0" applyNumberFormat="1" applyFont="1" applyFill="1" applyBorder="1" applyAlignment="1">
      <x:alignment vertical="center" wrapText="1"/>
    </x:xf>
    <x:xf numFmtId="0" fontId="10" fillId="8" borderId="20" xfId="0" applyNumberFormat="1" applyFont="1" applyFill="1" applyBorder="1" applyAlignment="1">
      <x:alignment vertical="center" wrapText="1"/>
    </x:xf>
    <x:xf numFmtId="0" fontId="10" fillId="11" borderId="20" xfId="0" applyNumberFormat="1" applyFont="1" applyFill="1" applyBorder="1" applyAlignment="1">
      <x:alignment vertical="center" wrapText="1"/>
    </x:xf>
    <x:xf numFmtId="0" fontId="50" fillId="6" borderId="20" xfId="0" applyNumberFormat="1" applyFont="1" applyFill="1" applyBorder="1" applyAlignment="1">
      <x:alignment horizontal="center" vertical="center"/>
    </x:xf>
    <x:xf numFmtId="0" fontId="51" fillId="15" borderId="32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left" vertical="center"/>
    </x:xf>
    <x:xf numFmtId="0" fontId="53" fillId="19" borderId="27" xfId="0" applyNumberFormat="1" applyFont="1" applyFill="1" applyBorder="1" applyAlignment="1">
      <x:alignment horizontal="center" vertical="center"/>
    </x:xf>
    <x:xf numFmtId="0" fontId="54" fillId="12" borderId="27" xfId="0" applyNumberFormat="1" applyFont="1" applyFill="1" applyBorder="1" applyAlignment="1">
      <x:alignment horizontal="center" vertical="center"/>
    </x:xf>
    <x:xf numFmtId="0" fontId="55" fillId="13" borderId="27" xfId="0" applyNumberFormat="1" applyFont="1" applyFill="1" applyBorder="1" applyAlignment="1">
      <x:alignment horizontal="center" vertical="center"/>
    </x:xf>
    <x:xf numFmtId="0" fontId="56" fillId="2" borderId="27" xfId="0" applyNumberFormat="1" applyFont="1" applyFill="1" applyBorder="1" applyAlignment="1">
      <x:alignment horizontal="center" vertical="center"/>
    </x:xf>
    <x:xf numFmtId="0" fontId="57" fillId="6" borderId="20" xfId="0" applyNumberFormat="1" applyFont="1" applyFill="1" applyBorder="1" applyAlignment="1">
      <x:alignment horizontal="left" vertical="center"/>
    </x:xf>
    <x:xf numFmtId="0" fontId="49" fillId="6" borderId="20" xfId="0" applyNumberFormat="1" applyFont="1" applyFill="1" applyBorder="1" applyAlignment="1">
      <x:alignment horizontal="left" vertical="center"/>
    </x:xf>
    <x:xf numFmtId="0" fontId="44" fillId="28" borderId="20" xfId="0" applyNumberFormat="1" applyFont="1" applyFill="1" applyBorder="1" applyAlignment="1">
      <x:alignment horizontal="left" vertical="center"/>
    </x:xf>
    <x:xf numFmtId="0" fontId="10" fillId="8" borderId="20" xfId="0" applyNumberFormat="1" applyFont="1" applyFill="1" applyBorder="1" applyAlignment="1">
      <x:alignment vertical="center"/>
    </x:xf>
    <x:xf numFmtId="0" fontId="13" fillId="8" borderId="20" xfId="0" applyNumberFormat="1" applyFont="1" applyFill="1" applyBorder="1" applyAlignment="1">
      <x:alignment vertical="center"/>
    </x:xf>
    <x:xf numFmtId="0" fontId="13" fillId="8" borderId="20" xfId="0" applyNumberFormat="1" applyFont="1" applyFill="1" applyBorder="1" applyAlignment="1">
      <x:alignment horizontal="center" vertical="center"/>
    </x:xf>
    <x:xf numFmtId="0" fontId="58" fillId="29" borderId="20" xfId="0" applyNumberFormat="1" applyFont="1" applyFill="1" applyBorder="1" applyAlignment="1">
      <x:alignment horizontal="left" vertical="center"/>
    </x:xf>
    <x:xf numFmtId="0" fontId="10" fillId="9" borderId="20" xfId="0" applyNumberFormat="1" applyFont="1" applyFill="1" applyBorder="1" applyAlignment="1">
      <x:alignment vertical="center"/>
    </x:xf>
    <x:xf numFmtId="0" fontId="13" fillId="9" borderId="20" xfId="0" applyNumberFormat="1" applyFont="1" applyFill="1" applyBorder="1" applyAlignment="1">
      <x:alignment vertical="center"/>
    </x:xf>
    <x:xf numFmtId="0" fontId="13" fillId="9" borderId="20" xfId="0" applyNumberFormat="1" applyFont="1" applyFill="1" applyBorder="1" applyAlignment="1">
      <x:alignment horizontal="center" vertical="center"/>
    </x:xf>
    <x:xf numFmtId="0" fontId="45" fillId="30" borderId="20" xfId="0" applyNumberFormat="1" applyFont="1" applyFill="1" applyBorder="1" applyAlignment="1">
      <x:alignment horizontal="left" vertical="center"/>
    </x:xf>
    <x:xf numFmtId="0" fontId="10" fillId="10" borderId="20" xfId="0" applyNumberFormat="1" applyFont="1" applyFill="1" applyBorder="1" applyAlignment="1">
      <x:alignment vertical="center"/>
    </x:xf>
    <x:xf numFmtId="0" fontId="13" fillId="10" borderId="20" xfId="0" applyNumberFormat="1" applyFont="1" applyFill="1" applyBorder="1" applyAlignment="1">
      <x:alignment vertical="center"/>
    </x:xf>
    <x:xf numFmtId="0" fontId="13" fillId="10" borderId="20" xfId="0" applyNumberFormat="1" applyFont="1" applyFill="1" applyBorder="1" applyAlignment="1">
      <x:alignment horizontal="center" vertical="center"/>
    </x:xf>
    <x:xf numFmtId="0" fontId="59" fillId="31" borderId="20" xfId="0" applyNumberFormat="1" applyFont="1" applyFill="1" applyBorder="1" applyAlignment="1">
      <x:alignment horizontal="left" vertical="center"/>
    </x:xf>
    <x:xf numFmtId="0" fontId="10" fillId="32" borderId="20" xfId="0" applyNumberFormat="1" applyFont="1" applyFill="1" applyBorder="1" applyAlignment="1">
      <x:alignment horizontal="center" vertical="center"/>
    </x:xf>
    <x:xf numFmtId="0" fontId="10" fillId="32" borderId="20" xfId="0" applyNumberFormat="1" applyFont="1" applyFill="1" applyBorder="1" applyAlignment="1">
      <x:alignment vertical="center"/>
    </x:xf>
    <x:xf numFmtId="0" fontId="13" fillId="32" borderId="20" xfId="0" applyNumberFormat="1" applyFont="1" applyFill="1" applyBorder="1" applyAlignment="1">
      <x:alignment vertical="center"/>
    </x:xf>
    <x:xf numFmtId="0" fontId="13" fillId="32" borderId="20" xfId="0" applyNumberFormat="1" applyFont="1" applyFill="1" applyBorder="1" applyAlignment="1">
      <x:alignment horizontal="center" vertical="center"/>
    </x:xf>
    <x:xf numFmtId="0" fontId="60" fillId="33" borderId="20" xfId="0" applyNumberFormat="1" applyFont="1" applyFill="1" applyBorder="1" applyAlignment="1">
      <x:alignment horizontal="left" vertical="center"/>
    </x:xf>
    <x:xf numFmtId="0" fontId="10" fillId="11" borderId="20" xfId="0" applyNumberFormat="1" applyFont="1" applyFill="1" applyBorder="1" applyAlignment="1">
      <x:alignment vertical="center"/>
    </x:xf>
    <x:xf numFmtId="0" fontId="13" fillId="11" borderId="20" xfId="0" applyNumberFormat="1" applyFont="1" applyFill="1" applyBorder="1" applyAlignment="1">
      <x:alignment vertical="center"/>
    </x:xf>
    <x:xf numFmtId="0" fontId="13" fillId="11" borderId="20" xfId="0" applyNumberFormat="1" applyFont="1" applyFill="1" applyBorder="1" applyAlignment="1">
      <x:alignment horizontal="center" vertical="center"/>
    </x:xf>
    <x:xf numFmtId="0" fontId="61" fillId="0" borderId="26" xfId="0" applyNumberFormat="1" applyFont="1" applyFill="1" applyBorder="1"/>
    <x:xf numFmtId="0" fontId="62" fillId="6" borderId="20" xfId="0" applyNumberFormat="1" applyFont="1" applyFill="1" applyBorder="1" applyAlignment="1">
      <x:alignment horizontal="left" vertical="center"/>
    </x:xf>
    <x:xf numFmtId="0" fontId="9" fillId="7" borderId="20" xfId="0" applyNumberFormat="1" applyFont="1" applyFill="1" applyBorder="1" applyAlignment="1">
      <x:alignment horizontal="center"/>
    </x:xf>
    <x:xf numFmtId="0" fontId="63" fillId="0" borderId="20" xfId="0" applyNumberFormat="1" applyFont="1" applyFill="1" applyBorder="1" applyAlignment="1">
      <x:alignment vertical="center"/>
    </x:xf>
    <x:xf numFmtId="0" fontId="15" fillId="0" borderId="20" xfId="0" applyNumberFormat="1" applyFont="1" applyFill="1" applyBorder="1" applyAlignment="1">
      <x:alignment vertical="center"/>
    </x:xf>
    <x:xf numFmtId="0" fontId="15" fillId="0" borderId="20" xfId="0" applyNumberFormat="1" applyFont="1" applyFill="1" applyBorder="1" applyAlignment="1">
      <x:alignment horizontal="center" vertical="center"/>
    </x:xf>
    <x:xf numFmtId="0" fontId="64" fillId="0" borderId="20" xfId="0" applyNumberFormat="1" applyFont="1" applyFill="1" applyBorder="1" applyAlignment="1">
      <x:alignment horizontal="center" vertical="center"/>
    </x:xf>
    <x:xf numFmtId="0" fontId="65" fillId="27" borderId="20" xfId="0" applyNumberFormat="1" applyFont="1" applyFill="1" applyBorder="1" applyAlignment="1">
      <x:alignment horizontal="left" vertical="center"/>
    </x:xf>
    <x:xf numFmtId="0" fontId="47" fillId="0" borderId="20" xfId="0" applyNumberFormat="1" applyFont="1" applyFill="1" applyBorder="1" applyAlignment="1">
      <x:alignment vertical="center"/>
    </x:xf>
    <x:xf numFmtId="0" fontId="15" fillId="0" borderId="20" xfId="0" applyNumberFormat="1" applyFont="1" applyFill="1" applyBorder="1" applyAlignment="1">
      <x:alignment vertical="center" wrapText="1"/>
    </x:xf>
    <x:xf numFmtId="0" fontId="66" fillId="8" borderId="20" xfId="0" applyNumberFormat="1" applyFont="1" applyFill="1" applyBorder="1" applyAlignment="1">
      <x:alignment horizontal="left" vertical="center"/>
    </x:xf>
    <x:xf numFmtId="0" fontId="7" fillId="0" borderId="20" xfId="0" applyNumberFormat="1" applyFont="1" applyFill="1" applyBorder="1" applyAlignment="1">
      <x:alignment vertical="center"/>
    </x:xf>
    <x:xf numFmtId="0" fontId="24" fillId="14" borderId="27" xfId="0" applyNumberFormat="1" applyFont="1" applyFill="1" applyBorder="1" applyAlignment="1">
      <x:alignment horizontal="center" vertical="center"/>
    </x:xf>
    <x:xf numFmtId="0" fontId="11" fillId="32" borderId="20" xfId="0" applyNumberFormat="1" applyFont="1" applyFill="1" applyBorder="1" applyAlignment="1">
      <x:alignment horizontal="center" vertical="center"/>
    </x:xf>
    <x:xf numFmtId="0" fontId="87" fillId="6" borderId="26" xfId="0" applyNumberFormat="1" applyFont="1" applyFill="1" applyBorder="1" applyAlignment="1">
      <x:alignment horizontal="left" vertical="center"/>
    </x:xf>
    <x:xf numFmtId="0" fontId="88" fillId="6" borderId="26" xfId="0" applyNumberFormat="1" applyFont="1" applyFill="1" applyBorder="1" applyAlignment="1">
      <x:alignment horizontal="left" vertical="center"/>
    </x:xf>
    <x:xf numFmtId="0" fontId="89" fillId="66" borderId="20" xfId="0" applyNumberFormat="1" applyFont="1" applyFill="1" applyBorder="1"/>
    <x:xf numFmtId="0" fontId="13" fillId="66" borderId="20" xfId="0" applyNumberFormat="1" applyFont="1" applyFill="1" applyBorder="1"/>
    <x:xf numFmtId="3" fontId="13" fillId="66" borderId="20" xfId="0" applyNumberFormat="1" applyFont="1" applyFill="1" applyBorder="1" applyAlignment="1">
      <x:alignment horizontal="right"/>
    </x:xf>
    <x:xf numFmtId="0" fontId="58" fillId="6" borderId="20" xfId="0" applyNumberFormat="1" applyFont="1" applyFill="1" applyBorder="1"/>
    <x:xf numFmtId="0" fontId="10" fillId="8" borderId="20" xfId="0" applyNumberFormat="1" applyFont="1" applyFill="1" applyBorder="1" applyAlignment="1">
      <x:alignment horizontal="center"/>
    </x:xf>
    <x:xf numFmtId="0" fontId="15" fillId="8" borderId="20" xfId="0" applyNumberFormat="1" applyFont="1" applyFill="1" applyBorder="1" applyAlignment="1">
      <x:alignment horizontal="center"/>
    </x:xf>
    <x:xf numFmtId="0" fontId="96" fillId="69" borderId="23" xfId="0" applyNumberFormat="1" applyFont="1" applyFill="1" applyBorder="1" applyAlignment="1">
      <x:alignment horizontal="center" vertical="center"/>
    </x:xf>
    <x:xf numFmtId="0" fontId="13" fillId="66" borderId="20" xfId="0" applyNumberFormat="1" applyFont="1" applyFill="1" applyBorder="1" applyAlignment="1">
      <x:alignment horizontal="center" vertical="center"/>
    </x:xf>
    <x:xf numFmtId="0" fontId="97" fillId="66" borderId="20" xfId="0" applyNumberFormat="1" applyFont="1" applyFill="1" applyBorder="1" applyAlignment="1">
      <x:alignment vertical="center"/>
    </x:xf>
    <x:xf numFmtId="0" fontId="98" fillId="6" borderId="26" xfId="0" applyNumberFormat="1" applyFont="1" applyFill="1" applyBorder="1"/>
    <x:xf numFmtId="0" fontId="10" fillId="9" borderId="20" xfId="0" applyNumberFormat="1" applyFont="1" applyFill="1" applyBorder="1" applyAlignment="1">
      <x:alignment horizontal="center"/>
    </x:xf>
    <x:xf numFmtId="0" fontId="15" fillId="9" borderId="20" xfId="0" applyNumberFormat="1" applyFont="1" applyFill="1" applyBorder="1" applyAlignment="1">
      <x:alignment horizontal="center"/>
    </x:xf>
    <x:xf numFmtId="0" fontId="10" fillId="10" borderId="20" xfId="0" applyNumberFormat="1" applyFont="1" applyFill="1" applyBorder="1" applyAlignment="1">
      <x:alignment horizontal="center"/>
    </x:xf>
    <x:xf numFmtId="0" fontId="15" fillId="10" borderId="20" xfId="0" applyNumberFormat="1" applyFont="1" applyFill="1" applyBorder="1" applyAlignment="1">
      <x:alignment horizontal="center"/>
    </x:xf>
    <x:xf numFmtId="0" fontId="10" fillId="11" borderId="20" xfId="0" applyNumberFormat="1" applyFont="1" applyFill="1" applyBorder="1" applyAlignment="1">
      <x:alignment horizontal="center"/>
    </x:xf>
    <x:xf numFmtId="0" fontId="15" fillId="11" borderId="20" xfId="0" applyNumberFormat="1" applyFont="1" applyFill="1" applyBorder="1" applyAlignment="1">
      <x:alignment horizontal="center"/>
    </x:xf>
    <x:xf numFmtId="0" fontId="99" fillId="6" borderId="20" xfId="0" applyNumberFormat="1" applyFont="1" applyFill="1" applyBorder="1" applyAlignment="1">
      <x:alignment horizontal="right"/>
    </x:xf>
    <x:xf numFmtId="0" fontId="100" fillId="6" borderId="20" xfId="0" applyNumberFormat="1" applyFont="1" applyFill="1" applyBorder="1" applyAlignment="1">
      <x:alignment horizontal="center"/>
    </x:xf>
    <x:xf numFmtId="0" fontId="13" fillId="66" borderId="20" xfId="0" applyNumberFormat="1" applyFont="1" applyFill="1" applyBorder="1" applyAlignment="1">
      <x:alignment horizontal="left"/>
    </x:xf>
    <x:xf numFmtId="0" fontId="13" fillId="66" borderId="20" xfId="0" applyNumberFormat="1" applyFont="1" applyFill="1" applyBorder="1" applyAlignment="1">
      <x:alignment horizontal="right"/>
    </x:xf>
    <x:xf numFmtId="0" fontId="13" fillId="8" borderId="20" xfId="0" applyNumberFormat="1" applyFont="1" applyFill="1" applyBorder="1" applyAlignment="1">
      <x:alignment wrapText="1"/>
    </x:xf>
    <x:xf numFmtId="0" fontId="96" fillId="69" borderId="23" xfId="0" applyNumberFormat="1" applyFont="1" applyFill="1" applyBorder="1" applyAlignment="1">
      <x:alignment horizontal="center"/>
    </x:xf>
    <x:xf numFmtId="0" fontId="13" fillId="66" borderId="20" xfId="0" applyNumberFormat="1" applyFont="1" applyFill="1" applyBorder="1" applyAlignment="1">
      <x:alignment horizontal="center"/>
    </x:xf>
    <x:xf numFmtId="0" fontId="97" fillId="66" borderId="20" xfId="0" applyNumberFormat="1" applyFont="1" applyFill="1" applyBorder="1"/>
    <x:xf numFmtId="0" fontId="101" fillId="6" borderId="26" xfId="0" applyNumberFormat="1" applyFont="1" applyFill="1" applyBorder="1"/>
    <x:xf numFmtId="0" fontId="13" fillId="9" borderId="20" xfId="0" applyNumberFormat="1" applyFont="1" applyFill="1" applyBorder="1" applyAlignment="1">
      <x:alignment wrapText="1"/>
    </x:xf>
    <x:xf numFmtId="0" fontId="13" fillId="10" borderId="20" xfId="0" applyNumberFormat="1" applyFont="1" applyFill="1" applyBorder="1" applyAlignment="1">
      <x:alignment wrapText="1"/>
    </x:xf>
    <x:xf numFmtId="0" fontId="13" fillId="11" borderId="20" xfId="0" applyNumberFormat="1" applyFont="1" applyFill="1" applyBorder="1" applyAlignment="1">
      <x:alignment wrapText="1"/>
    </x:xf>
    <x:xf numFmtId="0" fontId="102" fillId="6" borderId="26" xfId="0" applyNumberFormat="1" applyFont="1" applyFill="1" applyBorder="1"/>
    <x:xf numFmtId="0" fontId="0" fillId="6" borderId="26" xfId="0" applyNumberFormat="1" applyFont="1" applyFill="1" applyBorder="1"/>
    <x:xf numFmtId="0" fontId="103" fillId="6" borderId="26" xfId="0" applyNumberFormat="1" applyFont="1" applyFill="1" applyBorder="1"/>
    <x:xf numFmtId="0" fontId="104" fillId="7" borderId="26" xfId="0" applyNumberFormat="1" applyFont="1" applyFill="1" applyBorder="1"/>
    <x:xf numFmtId="0" fontId="105" fillId="66" borderId="26" xfId="0" applyNumberFormat="1" applyFont="1" applyFill="1" applyBorder="1"/>
    <x:xf numFmtId="0" fontId="106" fillId="26" borderId="26" xfId="0" applyNumberFormat="1" applyFont="1" applyFill="1" applyBorder="1"/>
    <x:xf numFmtId="0" fontId="105" fillId="7" borderId="26" xfId="0" applyNumberFormat="1" applyFont="1" applyFill="1" applyBorder="1"/>
    <x:xf numFmtId="0" fontId="107" fillId="26" borderId="26" xfId="0" applyNumberFormat="1" applyFont="1" applyFill="1" applyBorder="1"/>
    <x:xf numFmtId="0" fontId="108" fillId="69" borderId="23" xfId="0" applyNumberFormat="1" applyFont="1" applyFill="1" applyBorder="1"/>
    <x:xf numFmtId="0" fontId="109" fillId="26" borderId="26" xfId="0" applyNumberFormat="1" applyFont="1" applyFill="1" applyBorder="1"/>
    <x:xf numFmtId="0" fontId="110" fillId="26" borderId="26" xfId="0" applyNumberFormat="1" applyFont="1" applyFill="1" applyBorder="1"/>
    <x:xf numFmtId="0" fontId="108" fillId="26" borderId="26" xfId="0" applyNumberFormat="1" applyFont="1" applyFill="1" applyBorder="1"/>
    <x:xf numFmtId="0" fontId="111" fillId="26" borderId="26" xfId="0" applyNumberFormat="1" applyFont="1" applyFill="1" applyBorder="1"/>
    <x:xf numFmtId="0" fontId="104" fillId="6" borderId="26" xfId="0" applyNumberFormat="1" applyFont="1" applyFill="1" applyBorder="1"/>
    <x:xf numFmtId="0" fontId="112" fillId="6" borderId="26" xfId="0" applyNumberFormat="1" applyFont="1" applyFill="1" applyBorder="1"/>
    <x:xf numFmtId="0" fontId="0" fillId="74" borderId="26" xfId="0" applyNumberFormat="1" applyFont="1" applyFill="1" applyBorder="1"/>
    <x:xf numFmtId="0" fontId="81" fillId="74" borderId="0" xfId="0" applyNumberFormat="1" applyFont="1" applyFill="1" applyBorder="1"/>
    <x:xf numFmtId="0" fontId="81" fillId="74" borderId="26" xfId="0" applyNumberFormat="1" applyFont="1" applyFill="1" applyBorder="1"/>
    <x:xf numFmtId="0" fontId="113" fillId="74" borderId="0" xfId="0" applyNumberFormat="1" applyFont="1" applyFill="1" applyBorder="1"/>
    <x:xf numFmtId="0" fontId="113" fillId="74" borderId="26" xfId="0" applyNumberFormat="1" applyFont="1" applyFill="1" applyBorder="1"/>
    <x:xf numFmtId="0" fontId="114" fillId="74" borderId="0" xfId="0" applyNumberFormat="1" applyFont="1" applyFill="1" applyBorder="1"/>
    <x:xf numFmtId="0" fontId="114" fillId="74" borderId="26" xfId="0" applyNumberFormat="1" applyFont="1" applyFill="1" applyBorder="1"/>
    <x:xf numFmtId="0" fontId="0" fillId="75" borderId="0" xfId="0" applyNumberFormat="1" applyFont="1" applyFill="1" applyBorder="1"/>
    <x:xf numFmtId="0" fontId="0" fillId="75" borderId="26" xfId="0" applyNumberFormat="1" applyFont="1" applyFill="1" applyBorder="1"/>
    <x:xf numFmtId="0" fontId="115" fillId="75" borderId="0" xfId="0" applyNumberFormat="1" applyFont="1" applyFill="1" applyBorder="1"/>
    <x:xf numFmtId="0" fontId="115" fillId="75" borderId="26" xfId="0" applyNumberFormat="1" applyFont="1" applyFill="1" applyBorder="1"/>
    <x:xf numFmtId="0" fontId="115" fillId="75" borderId="0" xfId="0" applyNumberFormat="1" applyFont="1" applyFill="1" applyBorder="1" applyAlignment="1">
      <x:alignment wrapText="1"/>
    </x:xf>
    <x:xf numFmtId="0" fontId="115" fillId="75" borderId="26" xfId="0" applyNumberFormat="1" applyFont="1" applyFill="1" applyBorder="1" applyAlignment="1">
      <x:alignment wrapText="1"/>
    </x:xf>
    <x:xf numFmtId="0" fontId="81" fillId="0" borderId="0" xfId="0" applyNumberFormat="1" applyFont="1" applyFill="1" applyBorder="1"/>
    <x:xf numFmtId="0" fontId="81" fillId="0" borderId="26" xfId="0" applyNumberFormat="1" applyFont="1" applyFill="1" applyBorder="1"/>
    <x:xf numFmtId="0" fontId="116" fillId="0" borderId="0" xfId="0" applyNumberFormat="1" applyFont="1" applyFill="1" applyBorder="1"/>
    <x:xf numFmtId="0" fontId="116" fillId="0" borderId="2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76" borderId="33" xfId="0" applyNumberFormat="1" applyFont="1" applyFill="1" applyBorder="1" applyAlignment="1">
      <x:alignment wrapText="1"/>
    </x:xf>
    <x:xf numFmtId="0" fontId="0" fillId="76" borderId="34" xfId="0" applyNumberFormat="1" applyFont="1" applyFill="1" applyBorder="1" applyAlignment="1">
      <x:alignment wrapText="1"/>
    </x:xf>
    <x:xf numFmtId="0" fontId="81" fillId="76" borderId="33" xfId="0" applyNumberFormat="1" applyFont="1" applyFill="1" applyBorder="1" applyAlignment="1">
      <x:alignment wrapText="1"/>
    </x:xf>
    <x:xf numFmtId="0" fontId="81" fillId="76" borderId="34" xfId="0" applyNumberFormat="1" applyFont="1" applyFill="1" applyBorder="1" applyAlignment="1">
      <x:alignment wrapText="1"/>
    </x:xf>
    <x:xf numFmtId="0" fontId="0" fillId="77" borderId="33" xfId="0" applyNumberFormat="1" applyFont="1" applyFill="1" applyBorder="1" applyAlignment="1">
      <x:alignment wrapText="1"/>
    </x:xf>
    <x:xf numFmtId="0" fontId="0" fillId="77" borderId="34" xfId="0" applyNumberFormat="1" applyFont="1" applyFill="1" applyBorder="1" applyAlignment="1">
      <x:alignment wrapText="1"/>
    </x:xf>
    <x:xf numFmtId="0" fontId="81" fillId="77" borderId="33" xfId="0" applyNumberFormat="1" applyFont="1" applyFill="1" applyBorder="1" applyAlignment="1">
      <x:alignment wrapText="1"/>
    </x:xf>
    <x:xf numFmtId="0" fontId="81" fillId="77" borderId="34" xfId="0" applyNumberFormat="1" applyFont="1" applyFill="1" applyBorder="1" applyAlignment="1">
      <x:alignment wrapText="1"/>
    </x:xf>
    <x:xf numFmtId="0" fontId="0" fillId="74" borderId="33" xfId="0" applyNumberFormat="1" applyFont="1" applyFill="1" applyBorder="1" applyAlignment="1">
      <x:alignment wrapText="1"/>
    </x:xf>
    <x:xf numFmtId="0" fontId="0" fillId="74" borderId="34" xfId="0" applyNumberFormat="1" applyFont="1" applyFill="1" applyBorder="1" applyAlignment="1">
      <x:alignment wrapText="1"/>
    </x:xf>
    <x:xf numFmtId="0" fontId="81" fillId="74" borderId="33" xfId="0" applyNumberFormat="1" applyFont="1" applyFill="1" applyBorder="1" applyAlignment="1">
      <x:alignment wrapText="1"/>
    </x:xf>
    <x:xf numFmtId="0" fontId="81" fillId="74" borderId="34" xfId="0" applyNumberFormat="1" applyFont="1" applyFill="1" applyBorder="1" applyAlignment="1">
      <x:alignment wrapText="1"/>
    </x:xf>
    <x:xf numFmtId="200" fontId="0" fillId="0" borderId="33" xfId="0" applyNumberFormat="1" applyFont="1" applyFill="1" applyBorder="1" applyAlignment="1">
      <x:alignment wrapText="1"/>
    </x:xf>
    <x:xf numFmtId="200" fontId="0" fillId="0" borderId="34" xfId="0" applyNumberFormat="1" applyFont="1" applyFill="1" applyBorder="1" applyAlignment="1">
      <x:alignment wrapText="1"/>
    </x:xf>
    <x:xf numFmtId="0" fontId="0" fillId="75" borderId="0" xfId="0" applyNumberFormat="1" applyFont="1" applyFill="1" applyBorder="1" applyAlignment="1">
      <x:alignment wrapText="1"/>
    </x:xf>
    <x:xf numFmtId="0" fontId="0" fillId="75" borderId="26" xfId="0" applyNumberFormat="1" applyFont="1" applyFill="1" applyBorder="1" applyAlignment="1">
      <x:alignment wrapText="1"/>
    </x:xf>
    <x:xf numFmtId="200" fontId="81" fillId="74" borderId="33" xfId="0" applyNumberFormat="1" applyFont="1" applyFill="1" applyBorder="1" applyAlignment="1">
      <x:alignment wrapText="1"/>
    </x:xf>
    <x:xf numFmtId="200" fontId="81" fillId="74" borderId="34" xfId="0" applyNumberFormat="1" applyFont="1" applyFill="1" applyBorder="1" applyAlignment="1">
      <x:alignment wrapText="1"/>
    </x:xf>
    <x:xf numFmtId="0" fontId="0" fillId="78" borderId="33" xfId="0" applyNumberFormat="1" applyFont="1" applyFill="1" applyBorder="1" applyAlignment="1">
      <x:alignment wrapText="1"/>
    </x:xf>
    <x:xf numFmtId="0" fontId="0" fillId="78" borderId="34" xfId="0" applyNumberFormat="1" applyFont="1" applyFill="1" applyBorder="1" applyAlignment="1">
      <x:alignment wrapText="1"/>
    </x:xf>
    <x:xf numFmtId="0" fontId="81" fillId="78" borderId="33" xfId="0" applyNumberFormat="1" applyFont="1" applyFill="1" applyBorder="1" applyAlignment="1">
      <x:alignment wrapText="1"/>
    </x:xf>
    <x:xf numFmtId="0" fontId="81" fillId="78" borderId="34" xfId="0" applyNumberFormat="1" applyFont="1" applyFill="1" applyBorder="1" applyAlignment="1">
      <x:alignment wrapText="1"/>
    </x:xf>
  </x:cellXfs>
  <x:cellStyles count="49">
    <x:cellStyle name="常規" xfId="0"/>
    <x:cellStyle name="千位分隔" xfId="1"/>
    <x:cellStyle name="貨幣" xfId="2"/>
    <x:cellStyle name="百分比" xfId="3"/>
    <x:cellStyle name="千位分隔[0]" xfId="4"/>
    <x:cellStyle name="貨幣[0]" xfId="5"/>
    <x:cellStyle name="超鏈接" xfId="6"/>
    <x:cellStyle name="已訪問的超鏈接" xfId="7"/>
    <x:cellStyle name="註釋" xfId="8"/>
    <x:cellStyle name="警告文字" xfId="9"/>
    <x:cellStyle name="標題" xfId="10"/>
    <x:cellStyle name="解釋性文本" xfId="11"/>
    <x:cellStyle name="標題 1" xfId="12"/>
    <x:cellStyle name="標題 2" xfId="13"/>
    <x:cellStyle name="標題 3" xfId="14"/>
    <x:cellStyle name="標題 4" xfId="15"/>
    <x:cellStyle name="輸入" xfId="16"/>
    <x:cellStyle name="輸出" xfId="17"/>
    <x:cellStyle name="計算" xfId="18"/>
    <x:cellStyle name="檢查儲存格" xfId="19"/>
    <x:cellStyle name="鏈接儲存格" xfId="20"/>
    <x:cellStyle name="匯總" xfId="21"/>
    <x:cellStyle name="好" xfId="22"/>
    <x:cellStyle name="差" xfId="23"/>
    <x:cellStyle name="適中" xfId="24"/>
    <x:cellStyle name="強調文字顏色 1" xfId="25"/>
    <x:cellStyle name="20% - 強調文字顏色 1" xfId="26"/>
    <x:cellStyle name="40% - 強調文字顏色 1" xfId="27"/>
    <x:cellStyle name="60% - 強調文字顏色 1" xfId="28"/>
    <x:cellStyle name="強調文字顏色 2" xfId="29"/>
    <x:cellStyle name="20% - 強調文字顏色 2" xfId="30"/>
    <x:cellStyle name="40% - 強調文字顏色 2" xfId="31"/>
    <x:cellStyle name="60% - 強調文字顏色 2" xfId="32"/>
    <x:cellStyle name="強調文字顏色 3" xfId="33"/>
    <x:cellStyle name="20% - 強調文字顏色 3" xfId="34"/>
    <x:cellStyle name="40% - 強調文字顏色 3" xfId="35"/>
    <x:cellStyle name="60% - 強調文字顏色 3" xfId="36"/>
    <x:cellStyle name="強調文字顏色 4" xfId="37"/>
    <x:cellStyle name="20% - 強調文字顏色 4" xfId="38"/>
    <x:cellStyle name="40% - 強調文字顏色 4" xfId="39"/>
    <x:cellStyle name="60% - 強調文字顏色 4" xfId="40"/>
    <x:cellStyle name="強調文字顏色 5" xfId="41"/>
    <x:cellStyle name="20% - 強調文字顏色 5" xfId="42"/>
    <x:cellStyle name="40% - 強調文字顏色 5" xfId="43"/>
    <x:cellStyle name="60% - 強調文字顏色 5" xfId="44"/>
    <x:cellStyle name="強調文字顏色 6" xfId="45"/>
    <x:cellStyle name="20% - 強調文字顏色 6" xfId="46"/>
    <x:cellStyle name="40% - 強調文字顏色 6" xfId="47"/>
    <x:cellStyle name="60% - 強調文字顏色 6" xfId="48"/>
  </x:cellStyles>
  <x:dxfs count="19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004ade80"/>
      </x:font>
      <x:fill>
        <x:patternFill>
          <x:bgColor rgb="000d4f2b"/>
        </x:patternFill>
      </x:fill>
    </x:dxf>
    <x:dxf>
      <x:font>
        <x:b/>
        <x:color rgb="00f87171"/>
      </x:font>
      <x:fill>
        <x:patternFill>
          <x:bgColor rgb="006b101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990000"/>
      <x:rgbColor rgb="00006100"/>
      <x:rgbColor rgb="00000080"/>
      <x:rgbColor rgb="007F6000"/>
      <x:rgbColor rgb="00800080"/>
      <x:rgbColor rgb="00008080"/>
      <x:rgbColor rgb="00B0B0B0"/>
      <x:rgbColor rgb="00808080"/>
      <x:rgbColor rgb="00F0F0F0"/>
      <x:rgbColor rgb="00993366"/>
      <x:rgbColor rgb="00FFFACD"/>
      <x:rgbColor rgb="00DDEBF7"/>
      <x:rgbColor rgb="00660066"/>
      <x:rgbColor rgb="00FF8080"/>
      <x:rgbColor rgb="001F4E79"/>
      <x:rgbColor rgb="00D4D4D4"/>
      <x:rgbColor rgb="00000080"/>
      <x:rgbColor rgb="00FF00FF"/>
      <x:rgbColor rgb="00FFF9E3"/>
      <x:rgbColor rgb="0000FFFF"/>
      <x:rgbColor rgb="00800080"/>
      <x:rgbColor rgb="00800000"/>
      <x:rgbColor rgb="00008080"/>
      <x:rgbColor rgb="000000FF"/>
      <x:rgbColor rgb="0000CCFF"/>
      <x:rgbColor rgb="00E8EEF7"/>
      <x:rgbColor rgb="00C6EFCE"/>
      <x:rgbColor rgb="00FFF2CC"/>
      <x:rgbColor rgb="00D6E4F7"/>
      <x:rgbColor rgb="00FCE4D6"/>
      <x:rgbColor rgb="00F0E6FF"/>
      <x:rgbColor rgb="00F4CCCC"/>
      <x:rgbColor rgb="003366FF"/>
      <x:rgbColor rgb="0033CCCC"/>
      <x:rgbColor rgb="0099CC00"/>
      <x:rgbColor rgb="00F5F0FF"/>
      <x:rgbColor rgb="00B8860B"/>
      <x:rgbColor rgb="00FF6600"/>
      <x:rgbColor rgb="00666666"/>
      <x:rgbColor rgb="00F5F8FC"/>
      <x:rgbColor rgb="001F3864"/>
      <x:rgbColor rgb="00339966"/>
      <x:rgbColor rgb="00003300"/>
      <x:rgbColor rgb="001A5C1A"/>
      <x:rgbColor rgb="00833C0C"/>
      <x:rgbColor rgb="00993366"/>
      <x:rgbColor rgb="004A3580"/>
      <x:rgbColor rgb="001E1E1E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f1ac37e65429a" /><Relationship Type="http://schemas.openxmlformats.org/officeDocument/2006/relationships/theme" Target="/xl/theme/theme1.xml" Id="Rfca3d815f01b443c" /><Relationship Type="http://schemas.openxmlformats.org/officeDocument/2006/relationships/sheetMetadata" Target="/xl/metadata1.xml" Id="R47a236d450614686" /><Relationship Type="http://schemas.openxmlformats.org/officeDocument/2006/relationships/sharedStrings" Target="/xl/sharedStrings.xml" Id="R0fc7577db53949af" /><Relationship Type="http://schemas.openxmlformats.org/officeDocument/2006/relationships/worksheet" Target="/xl/worksheets/sheet1.xml" Id="Rb0ed178da0d947eb" /><Relationship Type="http://schemas.openxmlformats.org/officeDocument/2006/relationships/worksheet" Target="/xl/worksheets/sheet2.xml" Id="Rbd871081e57b40cb" /><Relationship Type="http://schemas.openxmlformats.org/officeDocument/2006/relationships/worksheet" Target="/xl/worksheets/sheet3.xml" Id="Re4959ac3d2004874" /><Relationship Type="http://schemas.openxmlformats.org/officeDocument/2006/relationships/worksheet" Target="/xl/worksheets/sheet4.xml" Id="Rff5c71e2cca14797" /><Relationship Type="http://schemas.openxmlformats.org/officeDocument/2006/relationships/worksheet" Target="/xl/worksheets/sheet5.xml" Id="R8ed1309a84294601" /><Relationship Type="http://schemas.openxmlformats.org/officeDocument/2006/relationships/worksheet" Target="/xl/worksheets/sheet6.xml" Id="R2be2a6d67d394e57" /><Relationship Type="http://schemas.openxmlformats.org/officeDocument/2006/relationships/worksheet" Target="/xl/worksheets/sheet7.xml" Id="Rc909f39d7c5546ee" /><Relationship Type="http://schemas.openxmlformats.org/officeDocument/2006/relationships/worksheet" Target="/xl/worksheets/sheet8.xml" Id="R47a9aab4fa754240" /><Relationship Type="http://schemas.openxmlformats.org/officeDocument/2006/relationships/worksheet" Target="/xl/worksheets/sheet9.xml" Id="R26933c7d22a848f5" /><Relationship Type="http://schemas.openxmlformats.org/officeDocument/2006/relationships/worksheet" Target="/xl/worksheets/sheet10.xml" Id="Rc681f97c21b1452a" /><Relationship Type="http://schemas.openxmlformats.org/officeDocument/2006/relationships/worksheet" Target="/xl/worksheets/sheet11.xml" Id="R9b0217d0acf741e6" /><Relationship Type="http://schemas.openxmlformats.org/officeDocument/2006/relationships/worksheet" Target="/xl/worksheets/sheet12.xml" Id="Rd595338c51224379" /><Relationship Type="http://schemas.openxmlformats.org/officeDocument/2006/relationships/worksheet" Target="/xl/worksheets/sheet13.xml" Id="R50277fa5fbe0420c" /><Relationship Type="http://schemas.openxmlformats.org/officeDocument/2006/relationships/worksheet" Target="/xl/worksheets/sheet14.xml" Id="R3a1e2520ada541f8" /><Relationship Type="http://schemas.openxmlformats.org/officeDocument/2006/relationships/worksheet" Target="/xl/worksheets/sheet15.xml" Id="Re9074ca1de274adb" /><Relationship Type="http://schemas.openxmlformats.org/officeDocument/2006/relationships/worksheet" Target="/xl/worksheets/sheet16.xml" Id="Ra988a41625ab445b" /><Relationship Type="http://schemas.openxmlformats.org/officeDocument/2006/relationships/worksheet" Target="/xl/worksheets/sheet17.xml" Id="R5ed5243e354e4245" /><Relationship Type="http://schemas.openxmlformats.org/officeDocument/2006/relationships/worksheet" Target="/xl/worksheets/sheet18.xml" Id="Rdd000e811f994254" /><Relationship Type="http://schemas.openxmlformats.org/officeDocument/2006/relationships/worksheet" Target="/xl/worksheets/sheet19.xml" Id="R3988b0bc33d04738" /><Relationship Type="http://schemas.openxmlformats.org/officeDocument/2006/relationships/worksheet" Target="/xl/worksheets/sheet20.xml" Id="R43e27222cd064651" /><Relationship Type="http://schemas.openxmlformats.org/officeDocument/2006/relationships/worksheet" Target="/xl/worksheets/sheet21.xml" Id="R6574307ec82b4da7" /><Relationship Type="http://schemas.openxmlformats.org/officeDocument/2006/relationships/worksheet" Target="/xl/worksheets/sheet22.xml" Id="R6f707e6b6cb54565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13" customWidth="1"/>
    <x:col min="2" max="2" width="20" style="113" customWidth="1"/>
    <x:col min="3" max="3" width="38" style="113" customWidth="1"/>
    <x:col min="4" max="4" width="12" style="113" customWidth="1"/>
    <x:col min="5" max="5" width="12" style="113" customWidth="1"/>
    <x:col min="6" max="7" width="12" style="113" customWidth="1"/>
    <x:col min="8" max="8" width="8" style="113" customWidth="1"/>
  </x:cols>
  <x:sheetData>
    <x:row r="1" s="113" customFormat="1" ht="48" customHeight="1">
      <x:c r="A1" s="138" t="inlineStr">
        <x:is>
          <x:t xml:space="preserve">🎯 Excel 函式 &amp; VBA 專業養成計畫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s="113" customFormat="1" ht="21.75" customHeight="1">
      <x:c r="A2" s="139" t="inlineStr">
        <x:is>
          <x:t xml:space="preserve">微任務拆解 × 色彩分級 × 成就追蹤 | 目標：能教別人的程度</x:t>
        </x:is>
      </x:c>
    </x:row>
    <x:row r="4" s="113" customFormat="1" ht="21.75" customHeight="1">
      <x:c r="A4" s="140" t="inlineStr">
        <x:is>
          <x:t xml:space="preserve">📊 難度色彩說明</x:t>
        </x:is>
      </x:c>
      <x:c r="B4" s="2" t="n"/>
      <x:c r="C4" s="2" t="n"/>
      <x:c r="D4" s="2" t="n"/>
      <x:c r="E4" s="2" t="n"/>
      <x:c r="F4" s="2" t="n"/>
      <x:c r="G4" s="2" t="n"/>
      <x:c r="H4" s="2" t="n"/>
    </x:row>
    <x:row r="5" s="113" customFormat="1" ht="24" customHeight="1">
      <x:c r="A5" s="141" t="inlineStr">
        <x:is>
          <x:t xml:space="preserve">🟢 Lv.1 入門</x:t>
        </x:is>
      </x:c>
      <x:c r="B5" s="142" t="inlineStr">
        <x:is>
          <x:t xml:space="preserve">🔵 Lv.2 基礎</x:t>
        </x:is>
      </x:c>
      <x:c r="C5" s="143" t="inlineStr">
        <x:is>
          <x:t xml:space="preserve">🟡 Lv.3 進階</x:t>
        </x:is>
      </x:c>
      <x:c r="D5" s="144" t="inlineStr">
        <x:is>
          <x:t xml:space="preserve">🟠 Lv.4 高階</x:t>
        </x:is>
      </x:c>
      <x:c r="E5" s="180" t="inlineStr">
        <x:is>
          <x:t xml:space="preserve">🔴 Lv.5 專家</x:t>
        </x:is>
      </x:c>
    </x:row>
    <x:row r="7" s="113" customFormat="1" ht="21.75" customHeight="1">
      <x:c r="A7" s="145" t="inlineStr">
        <x:is>
          <x:t xml:space="preserve">📋 學習路線圖（依「馬上能用」原則重新排序）</x:t>
        </x:is>
      </x:c>
      <x:c r="B7" s="11" t="n"/>
      <x:c r="C7" s="11" t="n"/>
      <x:c r="D7" s="11" t="n"/>
      <x:c r="E7" s="11" t="n"/>
      <x:c r="F7" s="11" t="n"/>
      <x:c r="G7" s="11" t="n"/>
      <x:c r="H7" s="12" t="n"/>
    </x:row>
    <x:row r="8" s="113" customFormat="1" ht="21.75" customHeight="1">
      <x:c r="A8" s="146" t="inlineStr">
        <x:is>
          <x:t xml:space="preserve">⏱ 預估總時間：12~14 週（每天 15~20 分鐘）｜ 不含 VBA 達到投行級效率：5~6 週</x:t>
        </x:is>
      </x:c>
      <x:c r="B8" s="11" t="n"/>
      <x:c r="C8" s="11" t="n"/>
      <x:c r="D8" s="11" t="n"/>
      <x:c r="E8" s="11" t="n"/>
      <x:c r="F8" s="11" t="n"/>
      <x:c r="G8" s="11" t="n"/>
      <x:c r="H8" s="12" t="n"/>
    </x:row>
    <x:row r="9" s="113" customFormat="1" ht="21.75" customHeight="1">
      <x:c r="A9" s="13" t="inlineStr">
        <x:is>
          <x:t xml:space="preserve">階段</x:t>
        </x:is>
      </x:c>
      <x:c r="B9" s="13" t="inlineStr">
        <x:is>
          <x:t xml:space="preserve">工作表</x:t>
        </x:is>
      </x:c>
      <x:c r="C9" s="13" t="inlineStr">
        <x:is>
          <x:t xml:space="preserve">學習內容</x:t>
        </x:is>
      </x:c>
      <x:c r="D9" s="13" t="inlineStr">
        <x:is>
          <x:t xml:space="preserve">難度</x:t>
        </x:is>
      </x:c>
      <x:c r="E9" s="13" t="inlineStr">
        <x:is>
          <x:t xml:space="preserve">微任務數</x:t>
        </x:is>
      </x:c>
      <x:c r="F9" s="13" t="inlineStr">
        <x:is>
          <x:t xml:space="preserve">預估時間</x:t>
        </x:is>
      </x:c>
      <x:c r="G9" s="13" t="inlineStr">
        <x:is>
          <x:t xml:space="preserve">經驗值</x:t>
        </x:is>
      </x:c>
      <x:c r="H9" s="13" t="inlineStr">
        <x:is>
          <x:t xml:space="preserve">完成</x:t>
        </x:is>
      </x:c>
    </x:row>
    <x:row r="10" s="113" customFormat="1" ht="28" customHeight="1">
      <x:c r="A10" s="147" t="inlineStr">
        <x:is>
          <x:t xml:space="preserve">🏃 Phase 1：操作效率基礎    第 1~2 週  |  目標：養成鍵盤操作習慣，複習基本功</x:t>
        </x:is>
      </x:c>
      <x:c r="B10" s="11" t="n"/>
      <x:c r="C10" s="11" t="n"/>
      <x:c r="D10" s="11" t="n"/>
      <x:c r="E10" s="11" t="n"/>
      <x:c r="F10" s="11" t="n"/>
      <x:c r="G10" s="11" t="n"/>
      <x:c r="H10" s="12" t="n"/>
    </x:row>
    <x:row r="11" s="113" customFormat="1" ht="22" customHeight="1">
      <x:c r="A11" s="14" t="inlineStr">
        <x:is>
          <x:t xml:space="preserve">第 1 階段</x:t>
        </x:is>
      </x:c>
      <x:c r="B11" s="148" t="inlineStr">
        <x:is>
          <x:t xml:space="preserve">⌨️ 快捷鍵大全</x:t>
        </x:is>
      </x:c>
      <x:c r="C11" s="149" t="inlineStr">
        <x:is>
          <x:t xml:space="preserve">導航/選取/編輯/KeyTips 全鍵盤</x:t>
        </x:is>
      </x:c>
      <x:c r="D11" s="150" t="inlineStr">
        <x:is>
          <x:t xml:space="preserve">🟢 Lv.1</x:t>
        </x:is>
      </x:c>
      <x:c r="E11" s="150" t="inlineStr">
        <x:is>
          <x:t xml:space="preserve">10 題</x:t>
        </x:is>
      </x:c>
      <x:c r="F11" s="150" t="inlineStr">
        <x:is>
          <x:t xml:space="preserve">20 分鐘</x:t>
        </x:is>
      </x:c>
      <x:c r="G11" s="150" t="inlineStr">
        <x:is>
          <x:t xml:space="preserve">150 XP</x:t>
        </x:is>
      </x:c>
      <x:c r="H11" s="15" t="inlineStr">
        <x:is>
          <x:t xml:space="preserve">□</x:t>
        </x:is>
      </x:c>
    </x:row>
    <x:row r="12" s="113" customFormat="1" ht="22" customHeight="1">
      <x:c r="A12" s="14" t="inlineStr">
        <x:is>
          <x:t xml:space="preserve">第 2 階段</x:t>
        </x:is>
      </x:c>
      <x:c r="B12" s="148" t="inlineStr">
        <x:is>
          <x:t xml:space="preserve">📊 基礎函式</x:t>
        </x:is>
      </x:c>
      <x:c r="C12" s="149" t="inlineStr">
        <x:is>
          <x:t xml:space="preserve">SUM / AVERAGE / COUNT / MAX / MIN</x:t>
        </x:is>
      </x:c>
      <x:c r="D12" s="150" t="inlineStr">
        <x:is>
          <x:t xml:space="preserve">🟢 Lv.1</x:t>
        </x:is>
      </x:c>
      <x:c r="E12" s="150" t="inlineStr">
        <x:is>
          <x:t xml:space="preserve">8 題</x:t>
        </x:is>
      </x:c>
      <x:c r="F12" s="150" t="inlineStr">
        <x:is>
          <x:t xml:space="preserve">15 分鐘</x:t>
        </x:is>
      </x:c>
      <x:c r="G12" s="150" t="inlineStr">
        <x:is>
          <x:t xml:space="preserve">100 XP</x:t>
        </x:is>
      </x:c>
      <x:c r="H12" s="15" t="inlineStr">
        <x:is>
          <x:t xml:space="preserve">□</x:t>
        </x:is>
      </x:c>
    </x:row>
    <x:row r="13" s="113" customFormat="1" ht="22" customHeight="1">
      <x:c r="A13" s="14" t="inlineStr">
        <x:is>
          <x:t xml:space="preserve">第 3 階段</x:t>
        </x:is>
      </x:c>
      <x:c r="B13" s="148" t="inlineStr">
        <x:is>
          <x:t xml:space="preserve">📐 條件判斷</x:t>
        </x:is>
      </x:c>
      <x:c r="C13" s="149" t="inlineStr">
        <x:is>
          <x:t xml:space="preserve">IF / IFS / 巢狀 IF / AND / OR</x:t>
        </x:is>
      </x:c>
      <x:c r="D13" s="150" t="inlineStr">
        <x:is>
          <x:t xml:space="preserve">🟢 Lv.1</x:t>
        </x:is>
      </x:c>
      <x:c r="E13" s="150" t="inlineStr">
        <x:is>
          <x:t xml:space="preserve">8 題</x:t>
        </x:is>
      </x:c>
      <x:c r="F13" s="150" t="inlineStr">
        <x:is>
          <x:t xml:space="preserve">15 分鐘</x:t>
        </x:is>
      </x:c>
      <x:c r="G13" s="150" t="inlineStr">
        <x:is>
          <x:t xml:space="preserve">100 XP</x:t>
        </x:is>
      </x:c>
      <x:c r="H13" s="15" t="inlineStr">
        <x:is>
          <x:t xml:space="preserve">□</x:t>
        </x:is>
      </x:c>
    </x:row>
    <x:row r="14" s="113" customFormat="1" ht="28" customHeight="1">
      <x:c r="A14" s="151" t="inlineStr">
        <x:is>
          <x:t xml:space="preserve">💼 Phase 2：工作即戰力    第 3~4 週  |  目標：老闆交辦的任務都能搞定</x:t>
        </x:is>
      </x:c>
      <x:c r="B14" s="11" t="n"/>
      <x:c r="C14" s="11" t="n"/>
      <x:c r="D14" s="11" t="n"/>
      <x:c r="E14" s="11" t="n"/>
      <x:c r="F14" s="11" t="n"/>
      <x:c r="G14" s="11" t="n"/>
      <x:c r="H14" s="12" t="n"/>
    </x:row>
    <x:row r="15" s="113" customFormat="1" ht="22" customHeight="1">
      <x:c r="A15" s="18" t="inlineStr">
        <x:is>
          <x:t xml:space="preserve">第 4 階段</x:t>
        </x:is>
      </x:c>
      <x:c r="B15" s="152" t="inlineStr">
        <x:is>
          <x:t xml:space="preserve">📈 條件統計</x:t>
        </x:is>
      </x:c>
      <x:c r="C15" s="153" t="inlineStr">
        <x:is>
          <x:t xml:space="preserve">COUNTIFS / SUMIFS / AVERAGEIFS</x:t>
        </x:is>
      </x:c>
      <x:c r="D15" s="154" t="inlineStr">
        <x:is>
          <x:t xml:space="preserve">🔵 Lv.2</x:t>
        </x:is>
      </x:c>
      <x:c r="E15" s="154" t="inlineStr">
        <x:is>
          <x:t xml:space="preserve">8 題</x:t>
        </x:is>
      </x:c>
      <x:c r="F15" s="154" t="inlineStr">
        <x:is>
          <x:t xml:space="preserve">20 分鐘</x:t>
        </x:is>
      </x:c>
      <x:c r="G15" s="154" t="inlineStr">
        <x:is>
          <x:t xml:space="preserve">150 XP</x:t>
        </x:is>
      </x:c>
      <x:c r="H15" s="19" t="inlineStr">
        <x:is>
          <x:t xml:space="preserve">□</x:t>
        </x:is>
      </x:c>
    </x:row>
    <x:row r="16" s="113" customFormat="1" ht="22" customHeight="1">
      <x:c r="A16" s="18" t="inlineStr">
        <x:is>
          <x:t xml:space="preserve">第 5 階段</x:t>
        </x:is>
      </x:c>
      <x:c r="B16" s="152" t="inlineStr">
        <x:is>
          <x:t xml:space="preserve">🔍 查找比對</x:t>
        </x:is>
      </x:c>
      <x:c r="C16" s="153" t="inlineStr">
        <x:is>
          <x:t xml:space="preserve">VLOOKUP / XLOOKUP / INDEX+MATCH</x:t>
        </x:is>
      </x:c>
      <x:c r="D16" s="154" t="inlineStr">
        <x:is>
          <x:t xml:space="preserve">🔵 Lv.2</x:t>
        </x:is>
      </x:c>
      <x:c r="E16" s="154" t="inlineStr">
        <x:is>
          <x:t xml:space="preserve">10 題</x:t>
        </x:is>
      </x:c>
      <x:c r="F16" s="154" t="inlineStr">
        <x:is>
          <x:t xml:space="preserve">25 分鐘</x:t>
        </x:is>
      </x:c>
      <x:c r="G16" s="154" t="inlineStr">
        <x:is>
          <x:t xml:space="preserve">200 XP</x:t>
        </x:is>
      </x:c>
      <x:c r="H16" s="19" t="inlineStr">
        <x:is>
          <x:t xml:space="preserve">□</x:t>
        </x:is>
      </x:c>
    </x:row>
    <x:row r="17" s="113" customFormat="1" ht="22" customHeight="1">
      <x:c r="A17" s="18" t="inlineStr">
        <x:is>
          <x:t xml:space="preserve">第 6 階段</x:t>
        </x:is>
      </x:c>
      <x:c r="B17" s="152" t="inlineStr">
        <x:is>
          <x:t xml:space="preserve">📊 樞紐分析表</x:t>
        </x:is>
      </x:c>
      <x:c r="C17" s="153" t="inlineStr">
        <x:is>
          <x:t xml:space="preserve">建立/四大區域/日期群組/計算欄位</x:t>
        </x:is>
      </x:c>
      <x:c r="D17" s="154" t="inlineStr">
        <x:is>
          <x:t xml:space="preserve">🔵 Lv.2</x:t>
        </x:is>
      </x:c>
      <x:c r="E17" s="154" t="inlineStr">
        <x:is>
          <x:t xml:space="preserve">8 題</x:t>
        </x:is>
      </x:c>
      <x:c r="F17" s="154" t="inlineStr">
        <x:is>
          <x:t xml:space="preserve">25 分鐘</x:t>
        </x:is>
      </x:c>
      <x:c r="G17" s="154" t="inlineStr">
        <x:is>
          <x:t xml:space="preserve">200 XP</x:t>
        </x:is>
      </x:c>
      <x:c r="H17" s="19" t="inlineStr">
        <x:is>
          <x:t xml:space="preserve">□</x:t>
        </x:is>
      </x:c>
    </x:row>
    <x:row r="18" s="113" customFormat="1" ht="22" customHeight="1">
      <x:c r="A18" s="18" t="inlineStr">
        <x:is>
          <x:t xml:space="preserve">第 7 階段</x:t>
        </x:is>
      </x:c>
      <x:c r="B18" s="152" t="inlineStr">
        <x:is>
          <x:t xml:space="preserve">🎨 條件式格式化</x:t>
        </x:is>
      </x:c>
      <x:c r="C18" s="153" t="inlineStr">
        <x:is>
          <x:t xml:space="preserve">資料橫條/色階/自訂公式規則</x:t>
        </x:is>
      </x:c>
      <x:c r="D18" s="154" t="inlineStr">
        <x:is>
          <x:t xml:space="preserve">🔵 Lv.2</x:t>
        </x:is>
      </x:c>
      <x:c r="E18" s="154" t="inlineStr">
        <x:is>
          <x:t xml:space="preserve">8 題</x:t>
        </x:is>
      </x:c>
      <x:c r="F18" s="154" t="inlineStr">
        <x:is>
          <x:t xml:space="preserve">20 分鐘</x:t>
        </x:is>
      </x:c>
      <x:c r="G18" s="154" t="inlineStr">
        <x:is>
          <x:t xml:space="preserve">150 XP</x:t>
        </x:is>
      </x:c>
      <x:c r="H18" s="19" t="inlineStr">
        <x:is>
          <x:t xml:space="preserve">□</x:t>
        </x:is>
      </x:c>
    </x:row>
    <x:row r="19" s="113" customFormat="1" ht="28" customHeight="1">
      <x:c r="A19" s="155" t="inlineStr">
        <x:is>
          <x:t xml:space="preserve">📐 Phase 3：專業打磨    第 5~6 週  |  目標：做出讓人覺得「很專業」的報表</x:t>
        </x:is>
      </x:c>
      <x:c r="B19" s="11" t="n"/>
      <x:c r="C19" s="11" t="n"/>
      <x:c r="D19" s="11" t="n"/>
      <x:c r="E19" s="11" t="n"/>
      <x:c r="F19" s="11" t="n"/>
      <x:c r="G19" s="11" t="n"/>
      <x:c r="H19" s="12" t="n"/>
    </x:row>
    <x:row r="20" s="113" customFormat="1" ht="22" customHeight="1">
      <x:c r="A20" s="18" t="inlineStr">
        <x:is>
          <x:t xml:space="preserve">第 8 階段</x:t>
        </x:is>
      </x:c>
      <x:c r="B20" s="152" t="inlineStr">
        <x:is>
          <x:t xml:space="preserve">✅ 資料驗證</x:t>
        </x:is>
      </x:c>
      <x:c r="C20" s="153" t="inlineStr">
        <x:is>
          <x:t xml:space="preserve">下拉選單/連動選單/自訂驗證</x:t>
        </x:is>
      </x:c>
      <x:c r="D20" s="154" t="inlineStr">
        <x:is>
          <x:t xml:space="preserve">🔵 Lv.2</x:t>
        </x:is>
      </x:c>
      <x:c r="E20" s="154" t="inlineStr">
        <x:is>
          <x:t xml:space="preserve">8 題</x:t>
        </x:is>
      </x:c>
      <x:c r="F20" s="154" t="inlineStr">
        <x:is>
          <x:t xml:space="preserve">15 分鐘</x:t>
        </x:is>
      </x:c>
      <x:c r="G20" s="154" t="inlineStr">
        <x:is>
          <x:t xml:space="preserve">150 XP</x:t>
        </x:is>
      </x:c>
      <x:c r="H20" s="19" t="inlineStr">
        <x:is>
          <x:t xml:space="preserve">□</x:t>
        </x:is>
      </x:c>
    </x:row>
    <x:row r="21" s="113" customFormat="1" ht="22" customHeight="1">
      <x:c r="A21" s="22" t="inlineStr">
        <x:is>
          <x:t xml:space="preserve">第 9 階段</x:t>
        </x:is>
      </x:c>
      <x:c r="B21" s="156" t="inlineStr">
        <x:is>
          <x:t xml:space="preserve">📝 文字日期</x:t>
        </x:is>
      </x:c>
      <x:c r="C21" s="157" t="inlineStr">
        <x:is>
          <x:t xml:space="preserve">TEXT / MID / TRIM / DATEDIF / WORKDAY</x:t>
        </x:is>
      </x:c>
      <x:c r="D21" s="158" t="inlineStr">
        <x:is>
          <x:t xml:space="preserve">🟡 Lv.3</x:t>
        </x:is>
      </x:c>
      <x:c r="E21" s="158" t="inlineStr">
        <x:is>
          <x:t xml:space="preserve">10 題</x:t>
        </x:is>
      </x:c>
      <x:c r="F21" s="158" t="inlineStr">
        <x:is>
          <x:t xml:space="preserve">20 分鐘</x:t>
        </x:is>
      </x:c>
      <x:c r="G21" s="158" t="inlineStr">
        <x:is>
          <x:t xml:space="preserve">150 XP</x:t>
        </x:is>
      </x:c>
      <x:c r="H21" s="23" t="inlineStr">
        <x:is>
          <x:t xml:space="preserve">□</x:t>
        </x:is>
      </x:c>
    </x:row>
    <x:row r="22" s="113" customFormat="1" ht="22" customHeight="1">
      <x:c r="A22" s="22" t="inlineStr">
        <x:is>
          <x:t xml:space="preserve">第10階段</x:t>
        </x:is>
      </x:c>
      <x:c r="B22" s="156" t="inlineStr">
        <x:is>
          <x:t xml:space="preserve">📈 圖表設計</x:t>
        </x:is>
      </x:c>
      <x:c r="C22" s="157" t="inlineStr">
        <x:is>
          <x:t xml:space="preserve">圖表選擇/設計原則/走勢圖</x:t>
        </x:is>
      </x:c>
      <x:c r="D22" s="158" t="inlineStr">
        <x:is>
          <x:t xml:space="preserve">🟡 Lv.3</x:t>
        </x:is>
      </x:c>
      <x:c r="E22" s="158" t="inlineStr">
        <x:is>
          <x:t xml:space="preserve">8 題</x:t>
        </x:is>
      </x:c>
      <x:c r="F22" s="158" t="inlineStr">
        <x:is>
          <x:t xml:space="preserve">25 分鐘</x:t>
        </x:is>
      </x:c>
      <x:c r="G22" s="158" t="inlineStr">
        <x:is>
          <x:t xml:space="preserve">200 XP</x:t>
        </x:is>
      </x:c>
      <x:c r="H22" s="23" t="inlineStr">
        <x:is>
          <x:t xml:space="preserve">□</x:t>
        </x:is>
      </x:c>
    </x:row>
    <x:row r="23" s="113" customFormat="1" ht="22" customHeight="1">
      <x:c r="A23" s="22" t="inlineStr">
        <x:is>
          <x:t xml:space="preserve">第11階段</x:t>
        </x:is>
      </x:c>
      <x:c r="B23" s="156" t="inlineStr">
        <x:is>
          <x:t xml:space="preserve">🔗 命名範圍&amp;表格</x:t>
        </x:is>
      </x:c>
      <x:c r="C23" s="157" t="inlineStr">
        <x:is>
          <x:t xml:space="preserve">命名/表格/結構化參照</x:t>
        </x:is>
      </x:c>
      <x:c r="D23" s="158" t="inlineStr">
        <x:is>
          <x:t xml:space="preserve">🟡 Lv.3</x:t>
        </x:is>
      </x:c>
      <x:c r="E23" s="158" t="inlineStr">
        <x:is>
          <x:t xml:space="preserve">8 題</x:t>
        </x:is>
      </x:c>
      <x:c r="F23" s="158" t="inlineStr">
        <x:is>
          <x:t xml:space="preserve">20 分鐘</x:t>
        </x:is>
      </x:c>
      <x:c r="G23" s="158" t="inlineStr">
        <x:is>
          <x:t xml:space="preserve">150 XP</x:t>
        </x:is>
      </x:c>
      <x:c r="H23" s="23" t="inlineStr">
        <x:is>
          <x:t xml:space="preserve">□</x:t>
        </x:is>
      </x:c>
    </x:row>
    <x:row r="24" s="113" customFormat="1" ht="22" customHeight="1">
      <x:c r="A24" s="18" t="inlineStr">
        <x:is>
          <x:t xml:space="preserve">第12階段</x:t>
        </x:is>
      </x:c>
      <x:c r="B24" s="152" t="inlineStr">
        <x:is>
          <x:t xml:space="preserve">🛡️ 保護與安全</x:t>
        </x:is>
      </x:c>
      <x:c r="C24" s="153" t="inlineStr">
        <x:is>
          <x:t xml:space="preserve">鎖定/保護/密碼/隱藏公式</x:t>
        </x:is>
      </x:c>
      <x:c r="D24" s="154" t="inlineStr">
        <x:is>
          <x:t xml:space="preserve">🔵 Lv.2</x:t>
        </x:is>
      </x:c>
      <x:c r="E24" s="154" t="inlineStr">
        <x:is>
          <x:t xml:space="preserve">6 題</x:t>
        </x:is>
      </x:c>
      <x:c r="F24" s="154" t="inlineStr">
        <x:is>
          <x:t xml:space="preserve">15 分鐘</x:t>
        </x:is>
      </x:c>
      <x:c r="G24" s="154" t="inlineStr">
        <x:is>
          <x:t xml:space="preserve">100 XP</x:t>
        </x:is>
      </x:c>
      <x:c r="H24" s="19" t="inlineStr">
        <x:is>
          <x:t xml:space="preserve">□</x:t>
        </x:is>
      </x:c>
    </x:row>
    <x:row r="25" s="113" customFormat="1" ht="28" customHeight="1">
      <x:c r="A25" s="159" t="inlineStr">
        <x:is>
          <x:t xml:space="preserve">⚡ Phase 4：進階自動化    第 7~10 週  |  目標：處理大量資料、自動化流程</x:t>
        </x:is>
      </x:c>
      <x:c r="B25" s="11" t="n"/>
      <x:c r="C25" s="11" t="n"/>
      <x:c r="D25" s="11" t="n"/>
      <x:c r="E25" s="11" t="n"/>
      <x:c r="F25" s="11" t="n"/>
      <x:c r="G25" s="11" t="n"/>
      <x:c r="H25" s="12" t="n"/>
    </x:row>
    <x:row r="26" s="113" customFormat="1" ht="22" customHeight="1">
      <x:c r="A26" s="22" t="inlineStr">
        <x:is>
          <x:t xml:space="preserve">第13階段</x:t>
        </x:is>
      </x:c>
      <x:c r="B26" s="156" t="inlineStr">
        <x:is>
          <x:t xml:space="preserve">📊 陣列動態</x:t>
        </x:is>
      </x:c>
      <x:c r="C26" s="157" t="inlineStr">
        <x:is>
          <x:t xml:space="preserve">FILTER / SORT / UNIQUE / SEQUENCE</x:t>
        </x:is>
      </x:c>
      <x:c r="D26" s="158" t="inlineStr">
        <x:is>
          <x:t xml:space="preserve">🟡 Lv.3</x:t>
        </x:is>
      </x:c>
      <x:c r="E26" s="158" t="inlineStr">
        <x:is>
          <x:t xml:space="preserve">8 題</x:t>
        </x:is>
      </x:c>
      <x:c r="F26" s="158" t="inlineStr">
        <x:is>
          <x:t xml:space="preserve">20 分鐘</x:t>
        </x:is>
      </x:c>
      <x:c r="G26" s="158" t="inlineStr">
        <x:is>
          <x:t xml:space="preserve">200 XP</x:t>
        </x:is>
      </x:c>
      <x:c r="H26" s="23" t="inlineStr">
        <x:is>
          <x:t xml:space="preserve">□</x:t>
        </x:is>
      </x:c>
    </x:row>
    <x:row r="27" s="113" customFormat="1" ht="22" customHeight="1">
      <x:c r="A27" s="160" t="inlineStr">
        <x:is>
          <x:t xml:space="preserve">第14階段</x:t>
        </x:is>
      </x:c>
      <x:c r="B27" s="161" t="inlineStr">
        <x:is>
          <x:t xml:space="preserve">🧮 進階函式</x:t>
        </x:is>
      </x:c>
      <x:c r="C27" s="162" t="inlineStr">
        <x:is>
          <x:t xml:space="preserve">INDIRECT / OFFSET / LET / AGGREGATE</x:t>
        </x:is>
      </x:c>
      <x:c r="D27" s="163" t="inlineStr">
        <x:is>
          <x:t xml:space="preserve">🟠 Lv.4</x:t>
        </x:is>
      </x:c>
      <x:c r="E27" s="163" t="inlineStr">
        <x:is>
          <x:t xml:space="preserve">8 題</x:t>
        </x:is>
      </x:c>
      <x:c r="F27" s="163" t="inlineStr">
        <x:is>
          <x:t xml:space="preserve">25 分鐘</x:t>
        </x:is>
      </x:c>
      <x:c r="G27" s="163" t="inlineStr">
        <x:is>
          <x:t xml:space="preserve">250 XP</x:t>
        </x:is>
      </x:c>
      <x:c r="H27" s="181" t="inlineStr">
        <x:is>
          <x:t xml:space="preserve">□</x:t>
        </x:is>
      </x:c>
    </x:row>
    <x:row r="28" s="113" customFormat="1" ht="22" customHeight="1">
      <x:c r="A28" s="160" t="inlineStr">
        <x:is>
          <x:t xml:space="preserve">第15階段</x:t>
        </x:is>
      </x:c>
      <x:c r="B28" s="161" t="inlineStr">
        <x:is>
          <x:t xml:space="preserve">⚡ Power Query</x:t>
        </x:is>
      </x:c>
      <x:c r="C28" s="162" t="inlineStr">
        <x:is>
          <x:t xml:space="preserve">匯入/清洗/合併/從資料夾匯入</x:t>
        </x:is>
      </x:c>
      <x:c r="D28" s="163" t="inlineStr">
        <x:is>
          <x:t xml:space="preserve">🟠 Lv.4</x:t>
        </x:is>
      </x:c>
      <x:c r="E28" s="163" t="inlineStr">
        <x:is>
          <x:t xml:space="preserve">8 題</x:t>
        </x:is>
      </x:c>
      <x:c r="F28" s="163" t="inlineStr">
        <x:is>
          <x:t xml:space="preserve">30 分鐘</x:t>
        </x:is>
      </x:c>
      <x:c r="G28" s="163" t="inlineStr">
        <x:is>
          <x:t xml:space="preserve">300 XP</x:t>
        </x:is>
      </x:c>
      <x:c r="H28" s="181" t="inlineStr">
        <x:is>
          <x:t xml:space="preserve">□</x:t>
        </x:is>
      </x:c>
    </x:row>
    <x:row r="29" s="113" customFormat="1" ht="22" customHeight="1">
      <x:c r="A29" s="160" t="inlineStr">
        <x:is>
          <x:t xml:space="preserve">第16階段</x:t>
        </x:is>
      </x:c>
      <x:c r="B29" s="161" t="inlineStr">
        <x:is>
          <x:t xml:space="preserve">🧩 假設分析</x:t>
        </x:is>
      </x:c>
      <x:c r="C29" s="162" t="inlineStr">
        <x:is>
          <x:t xml:space="preserve">目標搜尋/資料表/分析藍本</x:t>
        </x:is>
      </x:c>
      <x:c r="D29" s="163" t="inlineStr">
        <x:is>
          <x:t xml:space="preserve">🟠 Lv.4</x:t>
        </x:is>
      </x:c>
      <x:c r="E29" s="163" t="inlineStr">
        <x:is>
          <x:t xml:space="preserve">8 題</x:t>
        </x:is>
      </x:c>
      <x:c r="F29" s="163" t="inlineStr">
        <x:is>
          <x:t xml:space="preserve">20 分鐘</x:t>
        </x:is>
      </x:c>
      <x:c r="G29" s="163" t="inlineStr">
        <x:is>
          <x:t xml:space="preserve">200 XP</x:t>
        </x:is>
      </x:c>
      <x:c r="H29" s="181" t="inlineStr">
        <x:is>
          <x:t xml:space="preserve">□</x:t>
        </x:is>
      </x:c>
    </x:row>
    <x:row r="30" s="113" customFormat="1" ht="28" customHeight="1">
      <x:c r="A30" s="164" t="inlineStr">
        <x:is>
          <x:t xml:space="preserve">🔧 Phase 5：VBA 自動化大師    第 11~14 週  |  目標：能寫程式自動化，能教別人</x:t>
        </x:is>
      </x:c>
      <x:c r="B30" s="11" t="n"/>
      <x:c r="C30" s="11" t="n"/>
      <x:c r="D30" s="11" t="n"/>
      <x:c r="E30" s="11" t="n"/>
      <x:c r="F30" s="11" t="n"/>
      <x:c r="G30" s="11" t="n"/>
      <x:c r="H30" s="12" t="n"/>
    </x:row>
    <x:row r="31" s="113" customFormat="1" ht="22" customHeight="1">
      <x:c r="A31" s="22" t="inlineStr">
        <x:is>
          <x:t xml:space="preserve">第17階段</x:t>
        </x:is>
      </x:c>
      <x:c r="B31" s="156" t="inlineStr">
        <x:is>
          <x:t xml:space="preserve">⚙️ VBA基礎</x:t>
        </x:is>
      </x:c>
      <x:c r="C31" s="157" t="inlineStr">
        <x:is>
          <x:t xml:space="preserve">變數 / 迴圈 / 條件 / 儲存格操作</x:t>
        </x:is>
      </x:c>
      <x:c r="D31" s="158" t="inlineStr">
        <x:is>
          <x:t xml:space="preserve">🟡 Lv.3</x:t>
        </x:is>
      </x:c>
      <x:c r="E31" s="158" t="inlineStr">
        <x:is>
          <x:t xml:space="preserve">10 題</x:t>
        </x:is>
      </x:c>
      <x:c r="F31" s="158" t="inlineStr">
        <x:is>
          <x:t xml:space="preserve">30 分鐘</x:t>
        </x:is>
      </x:c>
      <x:c r="G31" s="158" t="inlineStr">
        <x:is>
          <x:t xml:space="preserve">300 XP</x:t>
        </x:is>
      </x:c>
      <x:c r="H31" s="23" t="inlineStr">
        <x:is>
          <x:t xml:space="preserve">□</x:t>
        </x:is>
      </x:c>
    </x:row>
    <x:row r="32" s="113" customFormat="1" ht="22" customHeight="1">
      <x:c r="A32" s="160" t="inlineStr">
        <x:is>
          <x:t xml:space="preserve">第18階段</x:t>
        </x:is>
      </x:c>
      <x:c r="B32" s="161" t="inlineStr">
        <x:is>
          <x:t xml:space="preserve">🔧 VBA進階</x:t>
        </x:is>
      </x:c>
      <x:c r="C32" s="162" t="inlineStr">
        <x:is>
          <x:t xml:space="preserve">陣列 / 字典 / 錯誤處理 / 事件</x:t>
        </x:is>
      </x:c>
      <x:c r="D32" s="163" t="inlineStr">
        <x:is>
          <x:t xml:space="preserve">🟠 Lv.4</x:t>
        </x:is>
      </x:c>
      <x:c r="E32" s="163" t="inlineStr">
        <x:is>
          <x:t xml:space="preserve">8 題</x:t>
        </x:is>
      </x:c>
      <x:c r="F32" s="163" t="inlineStr">
        <x:is>
          <x:t xml:space="preserve">30 分鐘</x:t>
        </x:is>
      </x:c>
      <x:c r="G32" s="163" t="inlineStr">
        <x:is>
          <x:t xml:space="preserve">300 XP</x:t>
        </x:is>
      </x:c>
      <x:c r="H32" s="181" t="inlineStr">
        <x:is>
          <x:t xml:space="preserve">□</x:t>
        </x:is>
      </x:c>
    </x:row>
    <x:row r="33" s="113" customFormat="1" ht="22" customHeight="1">
      <x:c r="A33" s="26" t="inlineStr">
        <x:is>
          <x:t xml:space="preserve">第19階段</x:t>
        </x:is>
      </x:c>
      <x:c r="B33" s="165" t="inlineStr">
        <x:is>
          <x:t xml:space="preserve">🏗️ VBA實戰</x:t>
        </x:is>
      </x:c>
      <x:c r="C33" s="166" t="inlineStr">
        <x:is>
          <x:t xml:space="preserve">自動報表 / 串接 / 實務範本</x:t>
        </x:is>
      </x:c>
      <x:c r="D33" s="167" t="inlineStr">
        <x:is>
          <x:t xml:space="preserve">🔴 Lv.5</x:t>
        </x:is>
      </x:c>
      <x:c r="E33" s="167" t="inlineStr">
        <x:is>
          <x:t xml:space="preserve">8 題</x:t>
        </x:is>
      </x:c>
      <x:c r="F33" s="167" t="inlineStr">
        <x:is>
          <x:t xml:space="preserve">40 分鐘</x:t>
        </x:is>
      </x:c>
      <x:c r="G33" s="167" t="inlineStr">
        <x:is>
          <x:t xml:space="preserve">400 XP</x:t>
        </x:is>
      </x:c>
      <x:c r="H33" s="27" t="inlineStr">
        <x:is>
          <x:t xml:space="preserve">□</x:t>
        </x:is>
      </x:c>
    </x:row>
    <x:row r="34" s="113" customFormat="1" ht="22" customHeight="1">
      <x:c r="A34" s="26" t="inlineStr">
        <x:is>
          <x:t xml:space="preserve">第20階段</x:t>
        </x:is>
      </x:c>
      <x:c r="B34" s="165" t="inlineStr">
        <x:is>
          <x:t xml:space="preserve">🏆 綜合挑戰</x:t>
        </x:is>
      </x:c>
      <x:c r="C34" s="166" t="inlineStr">
        <x:is>
          <x:t xml:space="preserve">融合所有技能的實戰任務</x:t>
        </x:is>
      </x:c>
      <x:c r="D34" s="167" t="inlineStr">
        <x:is>
          <x:t xml:space="preserve">🔴 Lv.5</x:t>
        </x:is>
      </x:c>
      <x:c r="E34" s="167" t="inlineStr">
        <x:is>
          <x:t xml:space="preserve">5 題</x:t>
        </x:is>
      </x:c>
      <x:c r="F34" s="167" t="inlineStr">
        <x:is>
          <x:t xml:space="preserve">30 分鐘</x:t>
        </x:is>
      </x:c>
      <x:c r="G34" s="167" t="inlineStr">
        <x:is>
          <x:t xml:space="preserve">500 XP</x:t>
        </x:is>
      </x:c>
      <x:c r="H34" s="27" t="inlineStr">
        <x:is>
          <x:t xml:space="preserve">□</x:t>
        </x:is>
      </x:c>
    </x:row>
    <x:row r="35" s="113" customFormat="1" ht="21.75" customHeight="1">
      <x:c r="A35" s="168" t="n"/>
      <x:c r="B35" s="168" t="n"/>
      <x:c r="C35" s="168" t="n"/>
      <x:c r="D35" s="168" t="n"/>
      <x:c r="E35" s="168" t="n"/>
      <x:c r="F35" s="168" t="n"/>
      <x:c r="G35" s="168" t="n"/>
      <x:c r="H35" s="168" t="n"/>
    </x:row>
    <x:row r="36" s="113" customFormat="1" ht="21.75" customHeight="1">
      <x:c r="A36" s="169" t="inlineStr">
        <x:is>
          <x:t xml:space="preserve">🏅 成就徽章（完成對應階段自動解鎖！在完成欄打 ✓）</x:t>
        </x:is>
      </x:c>
      <x:c r="B36" s="11" t="n"/>
      <x:c r="C36" s="11" t="n"/>
      <x:c r="D36" s="11" t="n"/>
      <x:c r="E36" s="11" t="n"/>
      <x:c r="F36" s="11" t="n"/>
      <x:c r="G36" s="11" t="n"/>
      <x:c r="H36" s="12" t="n"/>
    </x:row>
    <x:row r="37" s="113" customFormat="1" ht="21.75" customHeight="1">
      <x:c r="A37" s="170" t="inlineStr">
        <x:is>
          <x:t xml:space="preserve">徽章</x:t>
        </x:is>
      </x:c>
      <x:c r="B37" s="170" t="inlineStr">
        <x:is>
          <x:t xml:space="preserve">解鎖條件</x:t>
        </x:is>
      </x:c>
      <x:c r="C37" s="170" t="inlineStr">
        <x:is>
          <x:t xml:space="preserve">累積經驗值</x:t>
        </x:is>
      </x:c>
      <x:c r="D37" s="170" t="inlineStr">
        <x:is>
          <x:t xml:space="preserve">狀態</x:t>
        </x:is>
      </x:c>
      <x:c r="E37" s="168" t="n"/>
      <x:c r="F37" s="168" t="n"/>
      <x:c r="G37" s="168" t="n"/>
      <x:c r="H37" s="168" t="n"/>
    </x:row>
    <x:row r="38" s="113" customFormat="1" ht="21.75" customHeight="1">
      <x:c r="A38" s="171" t="inlineStr">
        <x:is>
          <x:t xml:space="preserve">⌨️ 鍵盤戰士</x:t>
        </x:is>
      </x:c>
      <x:c r="B38" s="172" t="inlineStr">
        <x:is>
          <x:t xml:space="preserve">完成 Phase 1（第 1~3 階段）</x:t>
        </x:is>
      </x:c>
      <x:c r="C38" s="173" t="inlineStr">
        <x:is>
          <x:t xml:space="preserve">350 XP</x:t>
        </x:is>
      </x:c>
      <x:c r="D38" s="174" t="inlineStr">
        <x:is>
          <x:t xml:space="preserve">🔒</x:t>
        </x:is>
      </x:c>
      <x:c r="E38" s="168" t="n"/>
      <x:c r="F38" s="168" t="n"/>
      <x:c r="G38" s="168" t="n"/>
      <x:c r="H38" s="168" t="n"/>
    </x:row>
    <x:row r="39" s="113" customFormat="1" ht="21.75" customHeight="1">
      <x:c r="A39" s="171" t="inlineStr">
        <x:is>
          <x:t xml:space="preserve">💼 即戰力新星</x:t>
        </x:is>
      </x:c>
      <x:c r="B39" s="172" t="inlineStr">
        <x:is>
          <x:t xml:space="preserve">完成 Phase 2（第 4~7 階段）</x:t>
        </x:is>
      </x:c>
      <x:c r="C39" s="173" t="inlineStr">
        <x:is>
          <x:t xml:space="preserve">1,050 XP</x:t>
        </x:is>
      </x:c>
      <x:c r="D39" s="174" t="inlineStr">
        <x:is>
          <x:t xml:space="preserve">🔒</x:t>
        </x:is>
      </x:c>
      <x:c r="E39" s="168" t="n"/>
      <x:c r="F39" s="168" t="n"/>
      <x:c r="G39" s="168" t="n"/>
      <x:c r="H39" s="168" t="n"/>
    </x:row>
    <x:row r="40" s="113" customFormat="1" ht="21.75" customHeight="1">
      <x:c r="A40" s="171" t="inlineStr">
        <x:is>
          <x:t xml:space="preserve">📐 專業報表手</x:t>
        </x:is>
      </x:c>
      <x:c r="B40" s="172" t="inlineStr">
        <x:is>
          <x:t xml:space="preserve">完成 Phase 3（第 8~12 階段）</x:t>
        </x:is>
      </x:c>
      <x:c r="C40" s="173" t="inlineStr">
        <x:is>
          <x:t xml:space="preserve">1,800 XP</x:t>
        </x:is>
      </x:c>
      <x:c r="D40" s="174" t="inlineStr">
        <x:is>
          <x:t xml:space="preserve">🔒</x:t>
        </x:is>
      </x:c>
      <x:c r="E40" s="168" t="n"/>
      <x:c r="F40" s="168" t="n"/>
      <x:c r="G40" s="168" t="n"/>
      <x:c r="H40" s="168" t="n"/>
    </x:row>
    <x:row r="41" s="113" customFormat="1" ht="21.75" customHeight="1">
      <x:c r="A41" s="171" t="inlineStr">
        <x:is>
          <x:t xml:space="preserve">⚡ 資料工程師</x:t>
        </x:is>
      </x:c>
      <x:c r="B41" s="172" t="inlineStr">
        <x:is>
          <x:t xml:space="preserve">完成 Phase 4（第 13~16 階段）</x:t>
        </x:is>
      </x:c>
      <x:c r="C41" s="173" t="inlineStr">
        <x:is>
          <x:t xml:space="preserve">2,750 XP</x:t>
        </x:is>
      </x:c>
      <x:c r="D41" s="174" t="inlineStr">
        <x:is>
          <x:t xml:space="preserve">🔒</x:t>
        </x:is>
      </x:c>
      <x:c r="E41" s="168" t="n"/>
      <x:c r="F41" s="168" t="n"/>
      <x:c r="G41" s="168" t="n"/>
      <x:c r="H41" s="168" t="n"/>
    </x:row>
    <x:row r="42" s="113" customFormat="1" ht="21.75" customHeight="1">
      <x:c r="A42" s="171" t="inlineStr">
        <x:is>
          <x:t xml:space="preserve">🔧 自動化大師</x:t>
        </x:is>
      </x:c>
      <x:c r="B42" s="172" t="inlineStr">
        <x:is>
          <x:t xml:space="preserve">完成 VBA 基礎+進階（第 17~18 階段）</x:t>
        </x:is>
      </x:c>
      <x:c r="C42" s="173" t="inlineStr">
        <x:is>
          <x:t xml:space="preserve">3,350 XP</x:t>
        </x:is>
      </x:c>
      <x:c r="D42" s="174" t="inlineStr">
        <x:is>
          <x:t xml:space="preserve">🔒</x:t>
        </x:is>
      </x:c>
      <x:c r="E42" s="168" t="n"/>
      <x:c r="F42" s="168" t="n"/>
      <x:c r="G42" s="168" t="n"/>
      <x:c r="H42" s="168" t="n"/>
    </x:row>
    <x:row r="43" s="113" customFormat="1">
      <x:c r="A43" s="171" t="inlineStr">
        <x:is>
          <x:t xml:space="preserve">👑 全能導師</x:t>
        </x:is>
      </x:c>
      <x:c r="B43" s="172" t="inlineStr">
        <x:is>
          <x:t xml:space="preserve">完成全部 20 階段</x:t>
        </x:is>
      </x:c>
      <x:c r="C43" s="173" t="inlineStr">
        <x:is>
          <x:t xml:space="preserve">3,850 XP</x:t>
        </x:is>
      </x:c>
      <x:c r="D43" s="174" t="inlineStr">
        <x:is>
          <x:t xml:space="preserve">🔒</x:t>
        </x:is>
      </x:c>
      <x:c r="E43" s="168" t="n"/>
      <x:c r="F43" s="168" t="n"/>
      <x:c r="G43" s="168" t="n"/>
      <x:c r="H43" s="168" t="n"/>
    </x:row>
    <x:row r="44" s="113" customFormat="1" ht="21.75" customHeight="1">
      <x:c r="A44" s="168" t="n"/>
      <x:c r="B44" s="168" t="n"/>
      <x:c r="C44" s="168" t="n"/>
      <x:c r="D44" s="168" t="n"/>
      <x:c r="E44" s="168" t="n"/>
      <x:c r="F44" s="168" t="n"/>
      <x:c r="G44" s="168" t="n"/>
      <x:c r="H44" s="168" t="n"/>
    </x:row>
    <x:row r="45" s="113" customFormat="1" ht="21.75" customHeight="1">
      <x:c r="A45" s="175" t="inlineStr">
        <x:is>
          <x:t xml:space="preserve">🧠 學習策略（重要！請先讀完再開始）</x:t>
        </x:is>
      </x:c>
      <x:c r="B45" s="11" t="n"/>
      <x:c r="C45" s="11" t="n"/>
      <x:c r="D45" s="11" t="n"/>
      <x:c r="E45" s="11" t="n"/>
      <x:c r="F45" s="11" t="n"/>
      <x:c r="G45" s="11" t="n"/>
      <x:c r="H45" s="12" t="n"/>
    </x:row>
    <x:row r="46" s="113" customFormat="1" ht="32" customHeight="1">
      <x:c r="A46" s="176" t="inlineStr">
        <x:is>
          <x:t xml:space="preserve">⏱ 番茄鐘節奏</x:t>
        </x:is>
      </x:c>
      <x:c r="B46" s="12" t="n"/>
      <x:c r="C46" s="177" t="inlineStr">
        <x:is>
          <x:t xml:space="preserve">15 分鐘專注 → 5 分鐘休息 → 再做 15 分鐘。一天最多 2~3 個番茄鐘就夠了</x:t>
        </x:is>
      </x:c>
      <x:c r="D46" s="11" t="n"/>
      <x:c r="E46" s="11" t="n"/>
      <x:c r="F46" s="11" t="n"/>
      <x:c r="G46" s="11" t="n"/>
      <x:c r="H46" s="12" t="n"/>
    </x:row>
    <x:row r="47" s="113" customFormat="1" ht="32" customHeight="1">
      <x:c r="A47" s="176" t="inlineStr">
        <x:is>
          <x:t xml:space="preserve">🎯 每天只做一件事</x:t>
        </x:is>
      </x:c>
      <x:c r="B47" s="12" t="n"/>
      <x:c r="C47" s="177" t="inlineStr">
        <x:is>
          <x:t xml:space="preserve">今天練 3 個快捷鍵 OR 做 4 題函式 OR 看 1 個 VBA 範本。不要混著學！</x:t>
        </x:is>
      </x:c>
      <x:c r="D47" s="11" t="n"/>
      <x:c r="E47" s="11" t="n"/>
      <x:c r="F47" s="11" t="n"/>
      <x:c r="G47" s="11" t="n"/>
      <x:c r="H47" s="12" t="n"/>
    </x:row>
    <x:row r="48" s="113" customFormat="1" ht="32" customHeight="1">
      <x:c r="A48" s="176" t="inlineStr">
        <x:is>
          <x:t xml:space="preserve">🚫 卡住 3 分鐘就看答案</x:t>
        </x:is>
      </x:c>
      <x:c r="B48" s="12" t="n"/>
      <x:c r="C48" s="177" t="inlineStr">
        <x:is>
          <x:t xml:space="preserve">看完答案後理解原理 → 關掉答案 → 自己重做一次。不要死磕</x:t>
        </x:is>
      </x:c>
      <x:c r="D48" s="11" t="n"/>
      <x:c r="E48" s="11" t="n"/>
      <x:c r="F48" s="11" t="n"/>
      <x:c r="G48" s="11" t="n"/>
      <x:c r="H48" s="12" t="n"/>
    </x:row>
    <x:row r="49" s="113" customFormat="1" ht="32" customHeight="1">
      <x:c r="A49" s="176" t="inlineStr">
        <x:is>
          <x:t xml:space="preserve">✅ 做完就打勾</x:t>
        </x:is>
      </x:c>
      <x:c r="B49" s="12" t="n"/>
      <x:c r="C49" s="177" t="inlineStr">
        <x:is>
          <x:t xml:space="preserve">回到儀表板打 ✓ 是你的多巴胺獎勵。每個小 ✓ 都是真的進步</x:t>
        </x:is>
      </x:c>
      <x:c r="D49" s="11" t="n"/>
      <x:c r="E49" s="11" t="n"/>
      <x:c r="F49" s="11" t="n"/>
      <x:c r="G49" s="11" t="n"/>
      <x:c r="H49" s="12" t="n"/>
    </x:row>
    <x:row r="50" s="113" customFormat="1" ht="32" customHeight="1">
      <x:c r="A50" s="176" t="inlineStr">
        <x:is>
          <x:t xml:space="preserve">📌 答案欄先遮住</x:t>
        </x:is>
      </x:c>
      <x:c r="B50" s="12" t="n"/>
      <x:c r="C50" s="177" t="inlineStr">
        <x:is>
          <x:t xml:space="preserve">用紙、便利貼、或把 G~H 欄暫時隱藏（選取 → 右鍵 → 隱藏）</x:t>
        </x:is>
      </x:c>
      <x:c r="D50" s="11" t="n"/>
      <x:c r="E50" s="11" t="n"/>
      <x:c r="F50" s="11" t="n"/>
      <x:c r="G50" s="11" t="n"/>
      <x:c r="H50" s="12" t="n"/>
    </x:row>
    <x:row r="51" s="113" customFormat="1" ht="32" customHeight="1">
      <x:c r="A51" s="176" t="inlineStr">
        <x:is>
          <x:t xml:space="preserve">🔄 間隔複習</x:t>
        </x:is>
      </x:c>
      <x:c r="B51" s="12" t="n"/>
      <x:c r="C51" s="177" t="inlineStr">
        <x:is>
          <x:t xml:space="preserve">做完新的一階段後，花 5 分鐘回去「快速掃」前一階段的題目</x:t>
        </x:is>
      </x:c>
      <x:c r="D51" s="11" t="n"/>
      <x:c r="E51" s="11" t="n"/>
      <x:c r="F51" s="11" t="n"/>
      <x:c r="G51" s="11" t="n"/>
      <x:c r="H51" s="12" t="n"/>
    </x:row>
    <x:row r="52" s="113" customFormat="1" ht="32" customHeight="1">
      <x:c r="A52" s="176" t="inlineStr">
        <x:is>
          <x:t xml:space="preserve">💡 跟工作連結</x:t>
        </x:is>
      </x:c>
      <x:c r="B52" s="12" t="n"/>
      <x:c r="C52" s="177" t="inlineStr">
        <x:is>
          <x:t xml:space="preserve">你的「核對表自動填入」專案已經用到了 XLOOKUP，學新東西時想想能不能用在工作上</x:t>
        </x:is>
      </x:c>
      <x:c r="D52" s="11" t="n"/>
      <x:c r="E52" s="11" t="n"/>
      <x:c r="F52" s="11" t="n"/>
      <x:c r="G52" s="11" t="n"/>
      <x:c r="H52" s="12" t="n"/>
    </x:row>
    <x:row r="53" s="113" customFormat="1">
      <x:c r="A53" s="168" t="n"/>
      <x:c r="B53" s="168" t="n"/>
      <x:c r="C53" s="168" t="n"/>
      <x:c r="D53" s="168" t="n"/>
      <x:c r="E53" s="168" t="n"/>
      <x:c r="F53" s="168" t="n"/>
      <x:c r="G53" s="168" t="n"/>
      <x:c r="H53" s="168" t="n"/>
    </x:row>
    <x:row r="54" s="113" customFormat="1">
      <x:c r="A54" s="178" t="inlineStr">
        <x:is>
          <x:t xml:space="preserve">📍 你的起點（根據你目前的程度）</x:t>
        </x:is>
      </x:c>
      <x:c r="B54" s="11" t="n"/>
      <x:c r="C54" s="11" t="n"/>
      <x:c r="D54" s="11" t="n"/>
      <x:c r="E54" s="11" t="n"/>
      <x:c r="F54" s="11" t="n"/>
      <x:c r="G54" s="11" t="n"/>
      <x:c r="H54" s="12" t="n"/>
    </x:row>
    <x:row r="55" s="113" customFormat="1" ht="28" customHeight="1">
      <x:c r="A55" s="179" t="inlineStr">
        <x:is>
          <x:t xml:space="preserve">已會的</x:t>
        </x:is>
      </x:c>
      <x:c r="B55" s="12" t="n"/>
      <x:c r="C55" s="177" t="inlineStr">
        <x:is>
          <x:t xml:space="preserve">基本操作、基礎函式、XLOOKUP（核對表專案已實戰使用）</x:t>
        </x:is>
      </x:c>
      <x:c r="D55" s="11" t="n"/>
      <x:c r="E55" s="11" t="n"/>
      <x:c r="F55" s="11" t="n"/>
      <x:c r="G55" s="11" t="n"/>
      <x:c r="H55" s="12" t="n"/>
    </x:row>
    <x:row r="56" s="113" customFormat="1" ht="28" customHeight="1">
      <x:c r="A56" s="179" t="inlineStr">
        <x:is>
          <x:t xml:space="preserve">Phase 1</x:t>
        </x:is>
      </x:c>
      <x:c r="B56" s="12" t="n"/>
      <x:c r="C56" s="177" t="inlineStr">
        <x:is>
          <x:t xml:space="preserve">快捷鍵需要從頭練。基礎函式和條件判斷可快速掃過，預計 1 週搞定</x:t>
        </x:is>
      </x:c>
      <x:c r="D56" s="11" t="n"/>
      <x:c r="E56" s="11" t="n"/>
      <x:c r="F56" s="11" t="n"/>
      <x:c r="G56" s="11" t="n"/>
      <x:c r="H56" s="12" t="n"/>
    </x:row>
    <x:row r="57" s="113" customFormat="1" ht="28" customHeight="1">
      <x:c r="A57" s="179" t="inlineStr">
        <x:is>
          <x:t xml:space="preserve">Phase 2</x:t>
        </x:is>
      </x:c>
      <x:c r="B57" s="12" t="n"/>
      <x:c r="C57" s="177" t="inlineStr">
        <x:is>
          <x:t xml:space="preserve">條件統計是新的，查找比對有基礎可加速。樞紐和格式化要認真學。預計 2 週</x:t>
        </x:is>
      </x:c>
      <x:c r="D57" s="11" t="n"/>
      <x:c r="E57" s="11" t="n"/>
      <x:c r="F57" s="11" t="n"/>
      <x:c r="G57" s="11" t="n"/>
      <x:c r="H57" s="12" t="n"/>
    </x:row>
    <x:row r="58" s="113" customFormat="1" ht="28" customHeight="1">
      <x:c r="A58" s="179" t="inlineStr">
        <x:is>
          <x:t xml:space="preserve">Phase 3</x:t>
        </x:is>
      </x:c>
      <x:c r="B58" s="12" t="n"/>
      <x:c r="C58" s="177" t="inlineStr">
        <x:is>
          <x:t xml:space="preserve">全部是新技能但都不難，穩穩學 2 週</x:t>
        </x:is>
      </x:c>
      <x:c r="D58" s="11" t="n"/>
      <x:c r="E58" s="11" t="n"/>
      <x:c r="F58" s="11" t="n"/>
      <x:c r="G58" s="11" t="n"/>
      <x:c r="H58" s="12" t="n"/>
    </x:row>
    <x:row r="59" s="113" customFormat="1" ht="28" customHeight="1">
      <x:c r="A59" s="179" t="inlineStr">
        <x:is>
          <x:t xml:space="preserve">Phase 4</x:t>
        </x:is>
      </x:c>
      <x:c r="B59" s="12" t="n"/>
      <x:c r="C59" s="177" t="inlineStr">
        <x:is>
          <x:t xml:space="preserve">陣列函式和 Power Query 較吃力，預留 3~4 週</x:t>
        </x:is>
      </x:c>
      <x:c r="D59" s="11" t="n"/>
      <x:c r="E59" s="11" t="n"/>
      <x:c r="F59" s="11" t="n"/>
      <x:c r="G59" s="11" t="n"/>
      <x:c r="H59" s="12" t="n"/>
    </x:row>
    <x:row r="60" s="113" customFormat="1" ht="28" customHeight="1">
      <x:c r="A60" s="179" t="inlineStr">
        <x:is>
          <x:t xml:space="preserve">Phase 5</x:t>
        </x:is>
      </x:c>
      <x:c r="B60" s="12" t="n"/>
      <x:c r="C60" s="177" t="inlineStr">
        <x:is>
          <x:t xml:space="preserve">VBA 完全新手，但你有 Python 經驗（核對表），概念可遷移。預留 3~4 週</x:t>
        </x:is>
      </x:c>
      <x:c r="D60" s="11" t="n"/>
      <x:c r="E60" s="11" t="n"/>
      <x:c r="F60" s="11" t="n"/>
      <x:c r="G60" s="11" t="n"/>
      <x:c r="H60" s="12" t="n"/>
    </x:row>
  </x:sheetData>
  <x:mergeCells>
    <x:mergeCell ref="A48:B48"/>
    <x:mergeCell ref="C47:H47"/>
    <x:mergeCell ref="A30:H30"/>
    <x:mergeCell ref="C55:H55"/>
    <x:mergeCell ref="C50:H50"/>
    <x:mergeCell ref="A59:B59"/>
    <x:mergeCell ref="A60:B60"/>
    <x:mergeCell ref="A49:B49"/>
    <x:mergeCell ref="A51:B51"/>
    <x:mergeCell ref="A36:H36"/>
    <x:mergeCell ref="A1:H1"/>
    <x:mergeCell ref="A45:H45"/>
    <x:mergeCell ref="C56:H56"/>
    <x:mergeCell ref="C59:H59"/>
    <x:mergeCell ref="C51:H51"/>
    <x:mergeCell ref="C46:H46"/>
    <x:mergeCell ref="C60:H60"/>
    <x:mergeCell ref="A7:H7"/>
    <x:mergeCell ref="A25:H25"/>
    <x:mergeCell ref="C52:H52"/>
    <x:mergeCell ref="A54:H54"/>
    <x:mergeCell ref="A46:B46"/>
    <x:mergeCell ref="C48:H48"/>
    <x:mergeCell ref="A56:B56"/>
    <x:mergeCell ref="A55:B55"/>
    <x:mergeCell ref="A50:B50"/>
    <x:mergeCell ref="C57:H57"/>
    <x:mergeCell ref="A57:B57"/>
    <x:mergeCell ref="A2:H2"/>
    <x:mergeCell ref="A47:B47"/>
    <x:mergeCell ref="A14:H14"/>
    <x:mergeCell ref="C49:H49"/>
    <x:mergeCell ref="A8:H8"/>
    <x:mergeCell ref="A4:H4"/>
    <x:mergeCell ref="C58:H58"/>
    <x:mergeCell ref="A52:B52"/>
    <x:mergeCell ref="A10:H10"/>
    <x:mergeCell ref="A19:H19"/>
    <x:mergeCell ref="A58:B5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style="113" customWidth="1"/>
    <x:col min="2" max="2" width="8" style="113" customWidth="1"/>
    <x:col min="3" max="3" width="40" style="113" customWidth="1"/>
    <x:col min="4" max="4" width="20" style="113" customWidth="1"/>
    <x:col min="5" max="5" width="10" style="113" customWidth="1"/>
    <x:col min="6" max="6" width="40" style="113" customWidth="1"/>
    <x:col min="7" max="7" width="5" style="113" customWidth="1"/>
    <x:col min="8" max="8" width="20" style="113" customWidth="1"/>
  </x:cols>
  <x:sheetData>
    <x:row r="1" s="113" customFormat="1" ht="36" customHeight="1">
      <x:c r="A1" s="182" t="inlineStr">
        <x:is>
          <x:t xml:space="preserve">📊 基礎函式互動練習</x:t>
        </x:is>
      </x:c>
    </x:row>
    <x:row r="2">
      <x:c r="A2" s="183" t="inlineStr">
        <x:is>
          <x:t xml:space="preserve">在黃色格子輸入公式 → 答對自動變綠 ✅ 答錯變紅 ❌ ── 答案完全隱藏！</x:t>
        </x:is>
      </x:c>
    </x:row>
    <x:row r="4">
      <x:c r="A4" s="184" t="inlineStr">
        <x:is>
          <x:t xml:space="preserve">【練習資料】</x:t>
        </x:is>
      </x:c>
      <x:c r="B4" s="185" t="n"/>
      <x:c r="C4" s="185" t="n"/>
      <x:c r="D4" s="185" t="n"/>
      <x:c r="E4" s="185" t="n"/>
      <x:c r="F4" s="185" t="n"/>
      <x:c r="G4" s="186" t="n"/>
    </x:row>
    <x:row r="5">
      <x:c r="A5" s="187" t="inlineStr">
        <x:is>
          <x:t xml:space="preserve">姓名</x:t>
        </x:is>
      </x:c>
      <x:c r="B5" s="187" t="inlineStr">
        <x:is>
          <x:t xml:space="preserve">1月</x:t>
        </x:is>
      </x:c>
      <x:c r="C5" s="187" t="inlineStr">
        <x:is>
          <x:t xml:space="preserve">2月</x:t>
        </x:is>
      </x:c>
      <x:c r="D5" s="187" t="inlineStr">
        <x:is>
          <x:t xml:space="preserve">3月</x:t>
        </x:is>
      </x:c>
      <x:c r="E5" s="187" t="inlineStr">
        <x:is>
          <x:t xml:space="preserve">4月</x:t>
        </x:is>
      </x:c>
      <x:c r="F5" s="187" t="inlineStr">
        <x:is>
          <x:t xml:space="preserve">5月</x:t>
        </x:is>
      </x:c>
      <x:c r="G5" s="187" t="inlineStr">
        <x:is>
          <x:t xml:space="preserve">6月</x:t>
        </x:is>
      </x:c>
    </x:row>
    <x:row r="6">
      <x:c r="A6" s="188" t="inlineStr">
        <x:is>
          <x:t xml:space="preserve">王小明</x:t>
        </x:is>
      </x:c>
      <x:c r="B6" s="189" t="n">
        <x:v>42000</x:v>
      </x:c>
      <x:c r="C6" s="189" t="n">
        <x:v>38000</x:v>
      </x:c>
      <x:c r="D6" s="189" t="n">
        <x:v>51000</x:v>
      </x:c>
      <x:c r="E6" s="189" t="n">
        <x:v>47000</x:v>
      </x:c>
      <x:c r="F6" s="189" t="n">
        <x:v>55000</x:v>
      </x:c>
      <x:c r="G6" s="189" t="n">
        <x:v>60000</x:v>
      </x:c>
    </x:row>
    <x:row r="7">
      <x:c r="A7" s="188" t="inlineStr">
        <x:is>
          <x:t xml:space="preserve">林美華</x:t>
        </x:is>
      </x:c>
      <x:c r="B7" s="189" t="n">
        <x:v>35000</x:v>
      </x:c>
      <x:c r="C7" s="189" t="n">
        <x:v>41000</x:v>
      </x:c>
      <x:c r="D7" s="189" t="n">
        <x:v>39000</x:v>
      </x:c>
      <x:c r="E7" s="189" t="n">
        <x:v>43000</x:v>
      </x:c>
      <x:c r="F7" s="189" t="n">
        <x:v>40000</x:v>
      </x:c>
      <x:c r="G7" s="189" t="n">
        <x:v>38000</x:v>
      </x:c>
    </x:row>
    <x:row r="8">
      <x:c r="A8" s="188" t="inlineStr">
        <x:is>
          <x:t xml:space="preserve">張志偉</x:t>
        </x:is>
      </x:c>
      <x:c r="B8" s="189" t="n">
        <x:v>58000</x:v>
      </x:c>
      <x:c r="C8" s="189" t="n">
        <x:v>62000</x:v>
      </x:c>
      <x:c r="D8" s="189" t="n">
        <x:v>57000</x:v>
      </x:c>
      <x:c r="E8" s="189" t="n">
        <x:v>65000</x:v>
      </x:c>
      <x:c r="F8" s="189" t="n">
        <x:v>70000</x:v>
      </x:c>
      <x:c r="G8" s="189" t="n">
        <x:v>68000</x:v>
      </x:c>
    </x:row>
    <x:row r="9">
      <x:c r="A9" s="188" t="inlineStr">
        <x:is>
          <x:t xml:space="preserve">陳雅琪</x:t>
        </x:is>
      </x:c>
      <x:c r="B9" s="189" t="n">
        <x:v>29000</x:v>
      </x:c>
      <x:c r="C9" s="189" t="n">
        <x:v>33000</x:v>
      </x:c>
      <x:c r="D9" s="189" t="n">
        <x:v>31000</x:v>
      </x:c>
      <x:c r="E9" s="189" t="n">
        <x:v>36000</x:v>
      </x:c>
      <x:c r="F9" s="189" t="n">
        <x:v>34000</x:v>
      </x:c>
      <x:c r="G9" s="189" t="n">
        <x:v>37000</x:v>
      </x:c>
    </x:row>
    <x:row r="10">
      <x:c r="A10" s="188" t="inlineStr">
        <x:is>
          <x:t xml:space="preserve">李大明</x:t>
        </x:is>
      </x:c>
      <x:c r="B10" s="189" t="n">
        <x:v>45000</x:v>
      </x:c>
      <x:c r="C10" s="189" t="n">
        <x:v>48000</x:v>
      </x:c>
      <x:c r="D10" s="189" t="n">
        <x:v>52000</x:v>
      </x:c>
      <x:c r="E10" s="189" t="n">
        <x:v>50000</x:v>
      </x:c>
      <x:c r="F10" s="189" t="n">
        <x:v>46000</x:v>
      </x:c>
      <x:c r="G10" s="189" t="n">
        <x:v>51000</x:v>
      </x:c>
    </x:row>
    <x:row r="12">
      <x:c r="A12" s="190" t="inlineStr">
        <x:is>
          <x:t xml:space="preserve">【互動練習】在 D 欄輸入你的公式，答對 → 🟢 答錯 → 🔴</x:t>
        </x:is>
      </x:c>
      <x:c r="B12" s="185" t="n"/>
      <x:c r="C12" s="185" t="n"/>
      <x:c r="D12" s="185" t="n"/>
      <x:c r="E12" s="185" t="n"/>
      <x:c r="F12" s="185" t="n"/>
      <x:c r="G12" s="185" t="n"/>
      <x:c r="H12" s="186" t="n"/>
    </x:row>
    <x:row r="13">
      <x:c r="A13" s="191" t="inlineStr">
        <x:is>
          <x:t xml:space="preserve">#</x:t>
        </x:is>
      </x:c>
      <x:c r="B13" s="191" t="inlineStr">
        <x:is>
          <x:t xml:space="preserve">難度</x:t>
        </x:is>
      </x:c>
      <x:c r="C13" s="191" t="inlineStr">
        <x:is>
          <x:t xml:space="preserve">任務描述</x:t>
        </x:is>
      </x:c>
      <x:c r="D13" s="191" t="inlineStr">
        <x:is>
          <x:t xml:space="preserve">你的答案 ▼</x:t>
        </x:is>
      </x:c>
      <x:c r="E13" s="191" t="inlineStr">
        <x:is>
          <x:t xml:space="preserve">結果</x:t>
        </x:is>
      </x:c>
      <x:c r="F13" s="191" t="inlineStr">
        <x:is>
          <x:t xml:space="preserve">提示（反白可見）</x:t>
        </x:is>
      </x:c>
    </x:row>
    <x:row r="14" s="113" customFormat="1" ht="30" customHeight="1">
      <x:c r="A14" s="192" t="n">
        <x:v>1</x:v>
      </x:c>
      <x:c r="B14" s="193" t="inlineStr">
        <x:is>
          <x:t xml:space="preserve">🟢</x:t>
        </x:is>
      </x:c>
      <x:c r="C14" s="194" t="inlineStr">
        <x:is>
          <x:t xml:space="preserve">計算所有人 1 月業績總和</x:t>
        </x:is>
      </x:c>
      <x:c r="D14" s="195" t="n"/>
      <x:c r="E14" s="196" t="str">
        <x:f>IF(D14="","",IF(ROUND(D14,2)=ROUND(H14,2),"✅ 正確！","❌ 再想想"))</x:f>
      </x:c>
      <x:c r="F14" s="197" t="inlineStr">
        <x:is>
          <x:t xml:space="preserve">SUM(範圍)</x:t>
        </x:is>
      </x:c>
      <x:c r="H14" s="198" t="n">
        <x:f>SUM(B6:B10)</x:f>
        <x:v>209000</x:v>
      </x:c>
    </x:row>
    <x:row r="15" s="113" customFormat="1" ht="30" customHeight="1">
      <x:c r="A15" s="192" t="n">
        <x:v>2</x:v>
      </x:c>
      <x:c r="B15" s="193" t="inlineStr">
        <x:is>
          <x:t xml:space="preserve">🟢</x:t>
        </x:is>
      </x:c>
      <x:c r="C15" s="194" t="inlineStr">
        <x:is>
          <x:t xml:space="preserve">計算 1 月的平均業績</x:t>
        </x:is>
      </x:c>
      <x:c r="D15" s="195" t="n"/>
      <x:c r="E15" s="196" t="str">
        <x:f>IF(D15="","",IF(ROUND(D15,2)=ROUND(H15,2),"✅ 正確！","❌ 再想想"))</x:f>
      </x:c>
      <x:c r="F15" s="197" t="inlineStr">
        <x:is>
          <x:t xml:space="preserve">AVERAGE(範圍)</x:t>
        </x:is>
      </x:c>
      <x:c r="H15" s="198" t="n">
        <x:f>AVERAGE(B6:B10)</x:f>
        <x:v>41800</x:v>
      </x:c>
    </x:row>
    <x:row r="16" s="113" customFormat="1" ht="30" customHeight="1">
      <x:c r="A16" s="199" t="n">
        <x:v>3</x:v>
      </x:c>
      <x:c r="B16" s="200" t="inlineStr">
        <x:is>
          <x:t xml:space="preserve">🔵</x:t>
        </x:is>
      </x:c>
      <x:c r="C16" s="201" t="inlineStr">
        <x:is>
          <x:t xml:space="preserve">找出 1 月最高業績</x:t>
        </x:is>
      </x:c>
      <x:c r="D16" s="195" t="n"/>
      <x:c r="E16" s="196" t="str">
        <x:f>IF(D16="","",IF(ROUND(D16,2)=ROUND(H16,2),"✅ 正確！","❌ 再想想"))</x:f>
      </x:c>
      <x:c r="F16" s="197" t="inlineStr">
        <x:is>
          <x:t xml:space="preserve">MAX(範圍)</x:t>
        </x:is>
      </x:c>
      <x:c r="H16" s="198" t="n">
        <x:f>MAX(B6:B10)</x:f>
        <x:v>58000</x:v>
      </x:c>
    </x:row>
    <x:row r="17" s="113" customFormat="1" ht="30" customHeight="1">
      <x:c r="A17" s="199" t="n">
        <x:v>4</x:v>
      </x:c>
      <x:c r="B17" s="200" t="inlineStr">
        <x:is>
          <x:t xml:space="preserve">🔵</x:t>
        </x:is>
      </x:c>
      <x:c r="C17" s="201" t="inlineStr">
        <x:is>
          <x:t xml:space="preserve">找出 1 月最低業績</x:t>
        </x:is>
      </x:c>
      <x:c r="D17" s="195" t="n"/>
      <x:c r="E17" s="196" t="str">
        <x:f>IF(D17="","",IF(ROUND(D17,2)=ROUND(H17,2),"✅ 正確！","❌ 再想想"))</x:f>
      </x:c>
      <x:c r="F17" s="197" t="inlineStr">
        <x:is>
          <x:t xml:space="preserve">MIN(範圍)</x:t>
        </x:is>
      </x:c>
      <x:c r="H17" s="198" t="n">
        <x:f>MIN(B6:B10)</x:f>
        <x:v>29000</x:v>
      </x:c>
    </x:row>
    <x:row r="18" s="113" customFormat="1" ht="30" customHeight="1">
      <x:c r="A18" s="199" t="n">
        <x:v>5</x:v>
      </x:c>
      <x:c r="B18" s="200" t="inlineStr">
        <x:is>
          <x:t xml:space="preserve">🔵</x:t>
        </x:is>
      </x:c>
      <x:c r="C18" s="201" t="inlineStr">
        <x:is>
          <x:t xml:space="preserve">計算有幾位業務員（非空白格數）</x:t>
        </x:is>
      </x:c>
      <x:c r="D18" s="195" t="n"/>
      <x:c r="E18" s="196" t="str">
        <x:f>IF(D18="","",IF(ROUND(D18,2)=ROUND(H18,2),"✅ 正確！","❌ 再想想"))</x:f>
      </x:c>
      <x:c r="F18" s="197" t="inlineStr">
        <x:is>
          <x:t xml:space="preserve">COUNTA 數非空白</x:t>
        </x:is>
      </x:c>
      <x:c r="H18" s="198" t="n">
        <x:f>COUNTA(A6:A10)</x:f>
        <x:v>5</x:v>
      </x:c>
    </x:row>
    <x:row r="19" s="113" customFormat="1" ht="30" customHeight="1">
      <x:c r="A19" s="202" t="n">
        <x:v>6</x:v>
      </x:c>
      <x:c r="B19" s="203" t="inlineStr">
        <x:is>
          <x:t xml:space="preserve">🟡</x:t>
        </x:is>
      </x:c>
      <x:c r="C19" s="204" t="inlineStr">
        <x:is>
          <x:t xml:space="preserve">計算王小明 6 個月總業績</x:t>
        </x:is>
      </x:c>
      <x:c r="D19" s="195" t="n"/>
      <x:c r="E19" s="196" t="str">
        <x:f>IF(D19="","",IF(ROUND(D19,2)=ROUND(H19,2),"✅ 正確！","❌ 再想想"))</x:f>
      </x:c>
      <x:c r="F19" s="197" t="inlineStr">
        <x:is>
          <x:t xml:space="preserve">SUM 也可以橫向</x:t>
        </x:is>
      </x:c>
      <x:c r="H19" s="198" t="n">
        <x:f>SUM(B6:G6)</x:f>
        <x:v>293000</x:v>
      </x:c>
    </x:row>
    <x:row r="20" s="113" customFormat="1" ht="30" customHeight="1">
      <x:c r="A20" s="202" t="n">
        <x:v>7</x:v>
      </x:c>
      <x:c r="B20" s="203" t="inlineStr">
        <x:is>
          <x:t xml:space="preserve">🟡</x:t>
        </x:is>
      </x:c>
      <x:c r="C20" s="204" t="inlineStr">
        <x:is>
          <x:t xml:space="preserve">計算 1 月業績中位數</x:t>
        </x:is>
      </x:c>
      <x:c r="D20" s="195" t="n"/>
      <x:c r="E20" s="196" t="str">
        <x:f>IF(D20="","",IF(ROUND(D20,2)=ROUND(H20,2),"✅ 正確！","❌ 再想想"))</x:f>
      </x:c>
      <x:c r="F20" s="197" t="inlineStr">
        <x:is>
          <x:t xml:space="preserve">MEDIAN(範圍)</x:t>
        </x:is>
      </x:c>
      <x:c r="H20" s="198" t="n">
        <x:f>MEDIAN(B6:B10)</x:f>
        <x:v>42000</x:v>
      </x:c>
    </x:row>
    <x:row r="21" s="113" customFormat="1" ht="30" customHeight="1">
      <x:c r="A21" s="205" t="n">
        <x:v>8</x:v>
      </x:c>
      <x:c r="B21" s="206" t="inlineStr">
        <x:is>
          <x:t xml:space="preserve">🔴</x:t>
        </x:is>
      </x:c>
      <x:c r="C21" s="207" t="inlineStr">
        <x:is>
          <x:t xml:space="preserve">用 LARGE 找出 1 月第 2 高的業績</x:t>
        </x:is>
      </x:c>
      <x:c r="D21" s="195" t="n"/>
      <x:c r="E21" s="196" t="str">
        <x:f>IF(D21="","",IF(ROUND(D21,2)=ROUND(H21,2),"✅ 正確！","❌ 再想想"))</x:f>
      </x:c>
      <x:c r="F21" s="197" t="inlineStr">
        <x:is>
          <x:t xml:space="preserve">LARGE(範圍,第幾大)</x:t>
        </x:is>
      </x:c>
      <x:c r="H21" s="198" t="n">
        <x:f>LARGE(B6:B10,2)</x:f>
        <x:v>45000</x:v>
      </x:c>
    </x:row>
    <x:row r="23">
      <x:c r="C23" s="208" t="inlineStr">
        <x:is>
          <x:t xml:space="preserve">得分：</x:t>
        </x:is>
      </x:c>
      <x:c r="D23" s="209" t="str">
        <x:f>COUNTIF(E14:E21,"✅ 正確！") &amp; " / 8 正確"</x:f>
        <x:v>0 / 8 正確</x:v>
      </x:c>
      <x:c r="E23" s="186" t="n"/>
    </x:row>
  </x:sheetData>
  <x:mergeCells>
    <x:mergeCell ref="A12:H12"/>
    <x:mergeCell ref="A2:H2"/>
    <x:mergeCell ref="A4:G4"/>
    <x:mergeCell ref="D23:E23"/>
    <x:mergeCell ref="A1:H1"/>
  </x:mergeCells>
  <x:conditionalFormatting sqref="D14:D14">
    <x:cfRule type="expression" dxfId="17" priority="1">
      <x:formula>AND(D14&lt;&gt;"",ROUND(D14,2)=ROUND(H14,2))</x:formula>
    </x:cfRule>
    <x:cfRule type="expression" dxfId="18" priority="2">
      <x:formula>AND(D14&lt;&gt;"",ROUND(D14,2)&lt;&gt;ROUND(H14,2))</x:formula>
    </x:cfRule>
  </x:conditionalFormatting>
  <x:conditionalFormatting sqref="D15:D15">
    <x:cfRule type="expression" dxfId="17" priority="3">
      <x:formula>AND(D15&lt;&gt;"",ROUND(D15,2)=ROUND(H15,2))</x:formula>
    </x:cfRule>
    <x:cfRule type="expression" dxfId="18" priority="4">
      <x:formula>AND(D15&lt;&gt;"",ROUND(D15,2)&lt;&gt;ROUND(H15,2))</x:formula>
    </x:cfRule>
  </x:conditionalFormatting>
  <x:conditionalFormatting sqref="D16:D16">
    <x:cfRule type="expression" dxfId="17" priority="5">
      <x:formula>AND(D16&lt;&gt;"",ROUND(D16,2)=ROUND(H16,2))</x:formula>
    </x:cfRule>
    <x:cfRule type="expression" dxfId="18" priority="6">
      <x:formula>AND(D16&lt;&gt;"",ROUND(D16,2)&lt;&gt;ROUND(H16,2))</x:formula>
    </x:cfRule>
  </x:conditionalFormatting>
  <x:conditionalFormatting sqref="D17:D17">
    <x:cfRule type="expression" dxfId="17" priority="7">
      <x:formula>AND(D17&lt;&gt;"",ROUND(D17,2)=ROUND(H17,2))</x:formula>
    </x:cfRule>
    <x:cfRule type="expression" dxfId="18" priority="8">
      <x:formula>AND(D17&lt;&gt;"",ROUND(D17,2)&lt;&gt;ROUND(H17,2))</x:formula>
    </x:cfRule>
  </x:conditionalFormatting>
  <x:conditionalFormatting sqref="D18:D18">
    <x:cfRule type="expression" dxfId="17" priority="9">
      <x:formula>AND(D18&lt;&gt;"",ROUND(D18,2)=ROUND(H18,2))</x:formula>
    </x:cfRule>
    <x:cfRule type="expression" dxfId="18" priority="10">
      <x:formula>AND(D18&lt;&gt;"",ROUND(D18,2)&lt;&gt;ROUND(H18,2))</x:formula>
    </x:cfRule>
  </x:conditionalFormatting>
  <x:conditionalFormatting sqref="D19:D19">
    <x:cfRule type="expression" dxfId="17" priority="11">
      <x:formula>AND(D19&lt;&gt;"",ROUND(D19,2)=ROUND(H19,2))</x:formula>
    </x:cfRule>
    <x:cfRule type="expression" dxfId="18" priority="12">
      <x:formula>AND(D19&lt;&gt;"",ROUND(D19,2)&lt;&gt;ROUND(H19,2))</x:formula>
    </x:cfRule>
  </x:conditionalFormatting>
  <x:conditionalFormatting sqref="D20:D20">
    <x:cfRule type="expression" dxfId="17" priority="13">
      <x:formula>AND(D20&lt;&gt;"",ROUND(D20,2)=ROUND(H20,2))</x:formula>
    </x:cfRule>
    <x:cfRule type="expression" dxfId="18" priority="14">
      <x:formula>AND(D20&lt;&gt;"",ROUND(D20,2)&lt;&gt;ROUND(H20,2))</x:formula>
    </x:cfRule>
  </x:conditionalFormatting>
  <x:conditionalFormatting sqref="D21:D21">
    <x:cfRule type="expression" dxfId="17" priority="15">
      <x:formula>AND(D21&lt;&gt;"",ROUND(D21,2)=ROUND(H21,2))</x:formula>
    </x:cfRule>
    <x:cfRule type="expression" dxfId="18" priority="16">
      <x:formula>AND(D21&lt;&gt;"",ROUND(D21,2)&lt;&gt;ROUND(H21,2))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style="113" customWidth="1"/>
    <x:col min="2" max="2" width="8" style="113" customWidth="1"/>
    <x:col min="3" max="3" width="42" style="113" customWidth="1"/>
    <x:col min="4" max="4" width="22" style="113" customWidth="1"/>
    <x:col min="5" max="5" width="12" style="113" customWidth="1"/>
    <x:col min="6" max="6" width="35" style="113" customWidth="1"/>
    <x:col min="7" max="7" width="5" style="113" customWidth="1"/>
    <x:col min="8" max="8" width="20" style="113" customWidth="1"/>
  </x:cols>
  <x:sheetData>
    <x:row r="1" s="113" customFormat="1" ht="36" customHeight="1">
      <x:c r="A1" s="182" t="inlineStr">
        <x:is>
          <x:t xml:space="preserve">📐 條件判斷互動練習</x:t>
        </x:is>
      </x:c>
    </x:row>
    <x:row r="2">
      <x:c r="A2" s="183" t="inlineStr">
        <x:is>
          <x:t xml:space="preserve">在黃色格子輸入公式 → 答對自動變綠 ✅ 答錯變紅 ❌</x:t>
        </x:is>
      </x:c>
    </x:row>
    <x:row r="4">
      <x:c r="A4" s="184" t="inlineStr">
        <x:is>
          <x:t xml:space="preserve">【練習資料】</x:t>
        </x:is>
      </x:c>
      <x:c r="B4" s="185" t="n"/>
      <x:c r="C4" s="185" t="n"/>
      <x:c r="D4" s="185" t="n"/>
      <x:c r="E4" s="185" t="n"/>
      <x:c r="F4" s="186" t="n"/>
    </x:row>
    <x:row r="5">
      <x:c r="A5" s="187" t="inlineStr">
        <x:is>
          <x:t xml:space="preserve">姓名</x:t>
        </x:is>
      </x:c>
      <x:c r="B5" s="187" t="inlineStr">
        <x:is>
          <x:t xml:space="preserve">部門</x:t>
        </x:is>
      </x:c>
      <x:c r="C5" s="187" t="inlineStr">
        <x:is>
          <x:t xml:space="preserve">月薪</x:t>
        </x:is>
      </x:c>
      <x:c r="D5" s="187" t="inlineStr">
        <x:is>
          <x:t xml:space="preserve">績效分數</x:t>
        </x:is>
      </x:c>
      <x:c r="E5" s="187" t="inlineStr">
        <x:is>
          <x:t xml:space="preserve">出勤天數</x:t>
        </x:is>
      </x:c>
    </x:row>
    <x:row r="6">
      <x:c r="A6" s="210" t="inlineStr">
        <x:is>
          <x:t xml:space="preserve">王小明</x:t>
        </x:is>
      </x:c>
      <x:c r="B6" s="210" t="inlineStr">
        <x:is>
          <x:t xml:space="preserve">業務</x:t>
        </x:is>
      </x:c>
      <x:c r="C6" s="189" t="n">
        <x:v>55000</x:v>
      </x:c>
      <x:c r="D6" s="211" t="n">
        <x:v>88</x:v>
      </x:c>
      <x:c r="E6" s="211" t="n">
        <x:v>22</x:v>
      </x:c>
    </x:row>
    <x:row r="7">
      <x:c r="A7" s="210" t="inlineStr">
        <x:is>
          <x:t xml:space="preserve">林美華</x:t>
        </x:is>
      </x:c>
      <x:c r="B7" s="210" t="inlineStr">
        <x:is>
          <x:t xml:space="preserve">財務</x:t>
        </x:is>
      </x:c>
      <x:c r="C7" s="189" t="n">
        <x:v>48000</x:v>
      </x:c>
      <x:c r="D7" s="211" t="n">
        <x:v>72</x:v>
      </x:c>
      <x:c r="E7" s="211" t="n">
        <x:v>20</x:v>
      </x:c>
    </x:row>
    <x:row r="8">
      <x:c r="A8" s="210" t="inlineStr">
        <x:is>
          <x:t xml:space="preserve">張志偉</x:t>
        </x:is>
      </x:c>
      <x:c r="B8" s="210" t="inlineStr">
        <x:is>
          <x:t xml:space="preserve">業務</x:t>
        </x:is>
      </x:c>
      <x:c r="C8" s="189" t="n">
        <x:v>68000</x:v>
      </x:c>
      <x:c r="D8" s="211" t="n">
        <x:v>95</x:v>
      </x:c>
      <x:c r="E8" s="211" t="n">
        <x:v>23</x:v>
      </x:c>
    </x:row>
    <x:row r="9">
      <x:c r="A9" s="210" t="inlineStr">
        <x:is>
          <x:t xml:space="preserve">陳雅琪</x:t>
        </x:is>
      </x:c>
      <x:c r="B9" s="210" t="inlineStr">
        <x:is>
          <x:t xml:space="preserve">資訊</x:t>
        </x:is>
      </x:c>
      <x:c r="C9" s="189" t="n">
        <x:v>42000</x:v>
      </x:c>
      <x:c r="D9" s="211" t="n">
        <x:v>65</x:v>
      </x:c>
      <x:c r="E9" s="211" t="n">
        <x:v>18</x:v>
      </x:c>
    </x:row>
    <x:row r="10">
      <x:c r="A10" s="210" t="inlineStr">
        <x:is>
          <x:t xml:space="preserve">李大明</x:t>
        </x:is>
      </x:c>
      <x:c r="B10" s="210" t="inlineStr">
        <x:is>
          <x:t xml:space="preserve">業務</x:t>
        </x:is>
      </x:c>
      <x:c r="C10" s="189" t="n">
        <x:v>51000</x:v>
      </x:c>
      <x:c r="D10" s="211" t="n">
        <x:v>78</x:v>
      </x:c>
      <x:c r="E10" s="211" t="n">
        <x:v>21</x:v>
      </x:c>
    </x:row>
    <x:row r="12">
      <x:c r="A12" s="190" t="inlineStr">
        <x:is>
          <x:t xml:space="preserve">【互動練習】在 D 欄輸入公式（以第一筆資料 Row 6 為基準）</x:t>
        </x:is>
      </x:c>
      <x:c r="B12" s="185" t="n"/>
      <x:c r="C12" s="185" t="n"/>
      <x:c r="D12" s="185" t="n"/>
      <x:c r="E12" s="185" t="n"/>
      <x:c r="F12" s="185" t="n"/>
      <x:c r="G12" s="185" t="n"/>
      <x:c r="H12" s="186" t="n"/>
    </x:row>
    <x:row r="13">
      <x:c r="A13" s="187" t="inlineStr">
        <x:is>
          <x:t xml:space="preserve">#</x:t>
        </x:is>
      </x:c>
      <x:c r="B13" s="187" t="inlineStr">
        <x:is>
          <x:t xml:space="preserve">難度</x:t>
        </x:is>
      </x:c>
      <x:c r="C13" s="187" t="inlineStr">
        <x:is>
          <x:t xml:space="preserve">任務描述</x:t>
        </x:is>
      </x:c>
      <x:c r="D13" s="187" t="inlineStr">
        <x:is>
          <x:t xml:space="preserve">你的答案 ▼</x:t>
        </x:is>
      </x:c>
      <x:c r="E13" s="187" t="inlineStr">
        <x:is>
          <x:t xml:space="preserve">結果</x:t>
        </x:is>
      </x:c>
      <x:c r="F13" s="187" t="inlineStr">
        <x:is>
          <x:t xml:space="preserve">提示（反白可見）</x:t>
        </x:is>
      </x:c>
    </x:row>
    <x:row r="14" s="113" customFormat="1" ht="30" customHeight="1">
      <x:c r="A14" s="192" t="n">
        <x:v>1</x:v>
      </x:c>
      <x:c r="B14" s="193" t="inlineStr">
        <x:is>
          <x:t xml:space="preserve">🟢</x:t>
        </x:is>
      </x:c>
      <x:c r="C14" s="212" t="inlineStr">
        <x:is>
          <x:t xml:space="preserve">績效&gt;=80 → "優良"，否則 "待改善"</x:t>
        </x:is>
      </x:c>
      <x:c r="D14" s="213" t="n"/>
      <x:c r="E14" s="214" t="str">
        <x:f>IF(D14="","",IF(EXACT(D14,H14),"✅ 正確！","❌ 再想想"))</x:f>
      </x:c>
      <x:c r="F14" s="215" t="inlineStr">
        <x:is>
          <x:t xml:space="preserve">IF(條件,真,假)</x:t>
        </x:is>
      </x:c>
      <x:c r="H14" s="216" t="str">
        <x:f>IF(D6&gt;=80,"優良","待改善")</x:f>
        <x:v>優良</x:v>
      </x:c>
    </x:row>
    <x:row r="15" s="113" customFormat="1" ht="30" customHeight="1">
      <x:c r="A15" s="192" t="n">
        <x:v>2</x:v>
      </x:c>
      <x:c r="B15" s="193" t="inlineStr">
        <x:is>
          <x:t xml:space="preserve">🟢</x:t>
        </x:is>
      </x:c>
      <x:c r="C15" s="212" t="inlineStr">
        <x:is>
          <x:t xml:space="preserve">月薪&gt;=60000 → "高薪"，否則 "一般"</x:t>
        </x:is>
      </x:c>
      <x:c r="D15" s="213" t="n"/>
      <x:c r="E15" s="214" t="str">
        <x:f>IF(D15="","",IF(EXACT(D15,H15),"✅ 正確！","❌ 再想想"))</x:f>
      </x:c>
      <x:c r="F15" s="215" t="inlineStr">
        <x:is>
          <x:t xml:space="preserve">把門檻改成 60000</x:t>
        </x:is>
      </x:c>
      <x:c r="H15" s="216" t="str">
        <x:f>IF(C6&gt;=60000,"高薪","一般")</x:f>
        <x:v>一般</x:v>
      </x:c>
    </x:row>
    <x:row r="16" s="113" customFormat="1" ht="30" customHeight="1">
      <x:c r="A16" s="199" t="n">
        <x:v>3</x:v>
      </x:c>
      <x:c r="B16" s="200" t="inlineStr">
        <x:is>
          <x:t xml:space="preserve">🔵</x:t>
        </x:is>
      </x:c>
      <x:c r="C16" s="217" t="inlineStr">
        <x:is>
          <x:t xml:space="preserve">績效&gt;=90→"A"，&gt;=75→"B"，其他→"C"</x:t>
        </x:is>
      </x:c>
      <x:c r="D16" s="213" t="n"/>
      <x:c r="E16" s="214" t="str">
        <x:f>IF(D16="","",IF(EXACT(D16,H16),"✅ 正確！","❌ 再想想"))</x:f>
      </x:c>
      <x:c r="F16" s="215" t="inlineStr">
        <x:is>
          <x:t xml:space="preserve">IFS 依序判斷，TRUE=其他</x:t>
        </x:is>
      </x:c>
      <x:c r="H16" s="216" t="str">
        <x:f>IFS(D6&gt;=90,"A",D6&gt;=75,"B",TRUE,"C")</x:f>
        <x:v>B</x:v>
      </x:c>
    </x:row>
    <x:row r="17" s="113" customFormat="1" ht="30" customHeight="1">
      <x:c r="A17" s="199" t="n">
        <x:v>4</x:v>
      </x:c>
      <x:c r="B17" s="200" t="inlineStr">
        <x:is>
          <x:t xml:space="preserve">🔵</x:t>
        </x:is>
      </x:c>
      <x:c r="C17" s="217" t="inlineStr">
        <x:is>
          <x:t xml:space="preserve">同上用巢狀 IF</x:t>
        </x:is>
      </x:c>
      <x:c r="D17" s="213" t="n"/>
      <x:c r="E17" s="214" t="str">
        <x:f>IF(D17="","",IF(EXACT(D17,H17),"✅ 正確！","❌ 再想想"))</x:f>
      </x:c>
      <x:c r="F17" s="215" t="inlineStr">
        <x:is>
          <x:t xml:space="preserve">IF 裡面再放 IF</x:t>
        </x:is>
      </x:c>
      <x:c r="H17" s="216" t="str">
        <x:f>IF(D6&gt;=90,"A",IF(D6&gt;=75,"B","C"))</x:f>
        <x:v>B</x:v>
      </x:c>
    </x:row>
    <x:row r="18" s="113" customFormat="1" ht="30" customHeight="1">
      <x:c r="A18" s="202" t="n">
        <x:v>5</x:v>
      </x:c>
      <x:c r="B18" s="203" t="inlineStr">
        <x:is>
          <x:t xml:space="preserve">🟡</x:t>
        </x:is>
      </x:c>
      <x:c r="C18" s="218" t="inlineStr">
        <x:is>
          <x:t xml:space="preserve">出勤&gt;=22 且 績效&gt;=80 → "模範"</x:t>
        </x:is>
      </x:c>
      <x:c r="D18" s="213" t="n"/>
      <x:c r="E18" s="214" t="str">
        <x:f>IF(D18="","",IF(EXACT(D18,H18),"✅ 正確！","❌ 再想想"))</x:f>
      </x:c>
      <x:c r="F18" s="215" t="inlineStr">
        <x:is>
          <x:t xml:space="preserve">AND(條件1,條件2)</x:t>
        </x:is>
      </x:c>
      <x:c r="H18" s="216" t="str">
        <x:f>IF(AND(E6&gt;=22,D6&gt;=80),"模範","一般")</x:f>
        <x:v>模範</x:v>
      </x:c>
    </x:row>
    <x:row r="19" s="113" customFormat="1" ht="30" customHeight="1">
      <x:c r="A19" s="202" t="n">
        <x:v>6</x:v>
      </x:c>
      <x:c r="B19" s="203" t="inlineStr">
        <x:is>
          <x:t xml:space="preserve">🟡</x:t>
        </x:is>
      </x:c>
      <x:c r="C19" s="218" t="inlineStr">
        <x:is>
          <x:t xml:space="preserve">部門是業務 或 績效&gt;=90 → "重點關注"</x:t>
        </x:is>
      </x:c>
      <x:c r="D19" s="213" t="n"/>
      <x:c r="E19" s="214" t="str">
        <x:f>IF(D19="","",IF(EXACT(D19,H19),"✅ 正確！","❌ 再想想"))</x:f>
      </x:c>
      <x:c r="F19" s="215" t="inlineStr">
        <x:is>
          <x:t xml:space="preserve">OR(條件1,條件2)</x:t>
        </x:is>
      </x:c>
      <x:c r="H19" s="216" t="str">
        <x:f>IF(OR(B6="業務",D6&gt;=90),"重點關注","一般")</x:f>
        <x:v>重點關注</x:v>
      </x:c>
    </x:row>
    <x:row r="20" s="113" customFormat="1" ht="30" customHeight="1">
      <x:c r="A20" s="205" t="n">
        <x:v>7</x:v>
      </x:c>
      <x:c r="B20" s="206" t="inlineStr">
        <x:is>
          <x:t xml:space="preserve">🔴</x:t>
        </x:is>
      </x:c>
      <x:c r="C20" s="219" t="inlineStr">
        <x:is>
          <x:t xml:space="preserve">績效&gt;=90 獎金=月薪×3，&gt;=75=×2，其他=×1</x:t>
        </x:is>
      </x:c>
      <x:c r="D20" s="213" t="n"/>
      <x:c r="E20" s="214" t="str">
        <x:f>IF(D20="","",IF(EXACT(D20,H20),"✅ 正確！","❌ 再想想"))</x:f>
      </x:c>
      <x:c r="F20" s="215" t="inlineStr">
        <x:is>
          <x:t xml:space="preserve">IFS + 數學運算</x:t>
        </x:is>
      </x:c>
      <x:c r="H20" s="216" t="n">
        <x:f>IFS(D6&gt;=90,C6*3,D6&gt;=75,C6*2,TRUE,C6*1)</x:f>
        <x:v>110000</x:v>
      </x:c>
    </x:row>
    <x:row r="21" s="113" customFormat="1" ht="30" customHeight="1">
      <x:c r="A21" s="205" t="n">
        <x:v>8</x:v>
      </x:c>
      <x:c r="B21" s="206" t="inlineStr">
        <x:is>
          <x:t xml:space="preserve">🔴</x:t>
        </x:is>
      </x:c>
      <x:c r="C21" s="219" t="inlineStr">
        <x:is>
          <x:t xml:space="preserve">績效是偶數→"偶數"，否則→"奇數"</x:t>
        </x:is>
      </x:c>
      <x:c r="D21" s="213" t="n"/>
      <x:c r="E21" s="214" t="str">
        <x:f>IF(D21="","",IF(EXACT(D21,H21),"✅ 正確！","❌ 再想想"))</x:f>
      </x:c>
      <x:c r="F21" s="215" t="inlineStr">
        <x:is>
          <x:t xml:space="preserve">MOD(數字,2) 餘數</x:t>
        </x:is>
      </x:c>
      <x:c r="H21" s="216" t="str">
        <x:f>IF(MOD(D6,2)=0,"偶數","奇數")</x:f>
        <x:v>偶數</x:v>
      </x:c>
    </x:row>
    <x:row r="23">
      <x:c r="C23" s="208" t="inlineStr">
        <x:is>
          <x:t xml:space="preserve">得分：</x:t>
        </x:is>
      </x:c>
      <x:c r="D23" s="209" t="str">
        <x:f>COUNTIF(E14:E21,"✅ 正確！") &amp; " / 8 正確"</x:f>
        <x:v>0 / 8 正確</x:v>
      </x:c>
      <x:c r="E23" s="186" t="n"/>
    </x:row>
  </x:sheetData>
  <x:mergeCells>
    <x:mergeCell ref="A12:H12"/>
    <x:mergeCell ref="A2:H2"/>
    <x:mergeCell ref="D23:E23"/>
    <x:mergeCell ref="A4:F4"/>
    <x:mergeCell ref="A1:H1"/>
  </x:mergeCells>
  <x:conditionalFormatting sqref="D14:D14">
    <x:cfRule type="expression" dxfId="17" priority="1">
      <x:formula>AND(D14&lt;&gt;"",EXACT(D14,H14))</x:formula>
    </x:cfRule>
    <x:cfRule type="expression" dxfId="18" priority="2">
      <x:formula>AND(D14&lt;&gt;"",NOT(EXACT(D14,H14)))</x:formula>
    </x:cfRule>
  </x:conditionalFormatting>
  <x:conditionalFormatting sqref="D15:D15">
    <x:cfRule type="expression" dxfId="17" priority="3">
      <x:formula>AND(D15&lt;&gt;"",EXACT(D15,H15))</x:formula>
    </x:cfRule>
    <x:cfRule type="expression" dxfId="18" priority="4">
      <x:formula>AND(D15&lt;&gt;"",NOT(EXACT(D15,H15)))</x:formula>
    </x:cfRule>
  </x:conditionalFormatting>
  <x:conditionalFormatting sqref="D16:D16">
    <x:cfRule type="expression" dxfId="17" priority="5">
      <x:formula>AND(D16&lt;&gt;"",EXACT(D16,H16))</x:formula>
    </x:cfRule>
    <x:cfRule type="expression" dxfId="18" priority="6">
      <x:formula>AND(D16&lt;&gt;"",NOT(EXACT(D16,H16)))</x:formula>
    </x:cfRule>
  </x:conditionalFormatting>
  <x:conditionalFormatting sqref="D17:D17">
    <x:cfRule type="expression" dxfId="17" priority="7">
      <x:formula>AND(D17&lt;&gt;"",EXACT(D17,H17))</x:formula>
    </x:cfRule>
    <x:cfRule type="expression" dxfId="18" priority="8">
      <x:formula>AND(D17&lt;&gt;"",NOT(EXACT(D17,H17)))</x:formula>
    </x:cfRule>
  </x:conditionalFormatting>
  <x:conditionalFormatting sqref="D18:D18">
    <x:cfRule type="expression" dxfId="17" priority="9">
      <x:formula>AND(D18&lt;&gt;"",EXACT(D18,H18))</x:formula>
    </x:cfRule>
    <x:cfRule type="expression" dxfId="18" priority="10">
      <x:formula>AND(D18&lt;&gt;"",NOT(EXACT(D18,H18)))</x:formula>
    </x:cfRule>
  </x:conditionalFormatting>
  <x:conditionalFormatting sqref="D19:D19">
    <x:cfRule type="expression" dxfId="17" priority="11">
      <x:formula>AND(D19&lt;&gt;"",EXACT(D19,H19))</x:formula>
    </x:cfRule>
    <x:cfRule type="expression" dxfId="18" priority="12">
      <x:formula>AND(D19&lt;&gt;"",NOT(EXACT(D19,H19)))</x:formula>
    </x:cfRule>
  </x:conditionalFormatting>
  <x:conditionalFormatting sqref="D20:D20">
    <x:cfRule type="expression" dxfId="17" priority="13">
      <x:formula>AND(D20&lt;&gt;"",EXACT(D20,H20))</x:formula>
    </x:cfRule>
    <x:cfRule type="expression" dxfId="18" priority="14">
      <x:formula>AND(D20&lt;&gt;"",NOT(EXACT(D20,H20)))</x:formula>
    </x:cfRule>
  </x:conditionalFormatting>
  <x:conditionalFormatting sqref="D21:D21">
    <x:cfRule type="expression" dxfId="17" priority="15">
      <x:formula>AND(D21&lt;&gt;"",EXACT(D21,H21))</x:formula>
    </x:cfRule>
    <x:cfRule type="expression" dxfId="18" priority="16">
      <x:formula>AND(D21&lt;&gt;"",NOT(EXACT(D21,H21)))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113" customWidth="1"/>
    <x:col min="2" max="2" width="8" style="113" customWidth="1"/>
    <x:col min="3" max="3" width="40" style="113" customWidth="1"/>
    <x:col min="4" max="4" width="35" style="113" customWidth="1"/>
    <x:col min="5" max="5" width="14" style="113" customWidth="1"/>
    <x:col min="6" max="6" width="30" style="113" customWidth="1"/>
    <x:col min="8" max="8" width="13" style="113" customWidth="1"/>
  </x:cols>
  <x:sheetData>
    <x:row r="1">
      <x:c r="A1" s="220" t="inlineStr">
        <x:is>
          <x:t xml:space="preserve">📈 條件統計 — COUNTIF / SUMIF / AVERAGEIF</x:t>
        </x:is>
      </x:c>
      <x:c r="G1" s="221" t="n"/>
      <x:c r="H1" s="221" t="n"/>
    </x:row>
    <x:row r="2">
      <x:c r="A2" s="222" t="inlineStr">
        <x:is>
          <x:t xml:space="preserve">在黃色邊框儲存格輸入公式 → 答對變綠 ✅ | 答錯變紅 ❌ | F欄提示選取可見</x:t>
        </x:is>
      </x:c>
      <x:c r="G2" s="221" t="n"/>
      <x:c r="H2" s="221" t="n"/>
    </x:row>
    <x:row r="3">
      <x:c r="A3" s="221" t="n"/>
      <x:c r="B3" s="221" t="n"/>
      <x:c r="C3" s="221" t="n"/>
      <x:c r="D3" s="221" t="n"/>
      <x:c r="E3" s="221" t="n"/>
      <x:c r="F3" s="221" t="n"/>
      <x:c r="G3" s="221" t="n"/>
      <x:c r="H3" s="221" t="n"/>
    </x:row>
    <x:row r="4">
      <x:c r="A4" s="223" t="inlineStr">
        <x:is>
          <x:t xml:space="preserve">📋 練習資料</x:t>
        </x:is>
      </x:c>
      <x:c r="F4" s="221" t="n"/>
      <x:c r="G4" s="221" t="n"/>
      <x:c r="H4" s="221" t="n"/>
    </x:row>
    <x:row r="5">
      <x:c r="A5" s="224" t="inlineStr">
        <x:is>
          <x:t xml:space="preserve">員工</x:t>
        </x:is>
      </x:c>
      <x:c r="B5" s="224" t="inlineStr">
        <x:is>
          <x:t xml:space="preserve">部門</x:t>
        </x:is>
      </x:c>
      <x:c r="C5" s="224" t="inlineStr">
        <x:is>
          <x:t xml:space="preserve">月薪</x:t>
        </x:is>
      </x:c>
      <x:c r="D5" s="224" t="inlineStr">
        <x:is>
          <x:t xml:space="preserve">績效分數</x:t>
        </x:is>
      </x:c>
      <x:c r="E5" s="224" t="inlineStr">
        <x:is>
          <x:t xml:space="preserve">年資</x:t>
        </x:is>
      </x:c>
      <x:c r="F5" s="221" t="n"/>
      <x:c r="G5" s="221" t="n"/>
      <x:c r="H5" s="221" t="n"/>
    </x:row>
    <x:row r="6">
      <x:c r="A6" s="225" t="inlineStr">
        <x:is>
          <x:t xml:space="preserve">王小明</x:t>
        </x:is>
      </x:c>
      <x:c r="B6" s="225" t="inlineStr">
        <x:is>
          <x:t xml:space="preserve">業務</x:t>
        </x:is>
      </x:c>
      <x:c r="C6" s="225" t="n">
        <x:v>55000</x:v>
      </x:c>
      <x:c r="D6" s="225" t="n">
        <x:v>88</x:v>
      </x:c>
      <x:c r="E6" s="225" t="n">
        <x:v>3</x:v>
      </x:c>
      <x:c r="F6" s="221" t="n"/>
      <x:c r="G6" s="221" t="n"/>
      <x:c r="H6" s="221" t="n"/>
    </x:row>
    <x:row r="7">
      <x:c r="A7" s="225" t="inlineStr">
        <x:is>
          <x:t xml:space="preserve">林美華</x:t>
        </x:is>
      </x:c>
      <x:c r="B7" s="225" t="inlineStr">
        <x:is>
          <x:t xml:space="preserve">財務</x:t>
        </x:is>
      </x:c>
      <x:c r="C7" s="225" t="n">
        <x:v>48000</x:v>
      </x:c>
      <x:c r="D7" s="225" t="n">
        <x:v>72</x:v>
      </x:c>
      <x:c r="E7" s="225" t="n">
        <x:v>5</x:v>
      </x:c>
      <x:c r="F7" s="221" t="n"/>
      <x:c r="G7" s="221" t="n"/>
      <x:c r="H7" s="221" t="n"/>
    </x:row>
    <x:row r="8">
      <x:c r="A8" s="225" t="inlineStr">
        <x:is>
          <x:t xml:space="preserve">張志偉</x:t>
        </x:is>
      </x:c>
      <x:c r="B8" s="225" t="inlineStr">
        <x:is>
          <x:t xml:space="preserve">業務</x:t>
        </x:is>
      </x:c>
      <x:c r="C8" s="225" t="n">
        <x:v>68000</x:v>
      </x:c>
      <x:c r="D8" s="225" t="n">
        <x:v>95</x:v>
      </x:c>
      <x:c r="E8" s="225" t="n">
        <x:v>7</x:v>
      </x:c>
      <x:c r="F8" s="221" t="n"/>
      <x:c r="G8" s="221" t="n"/>
      <x:c r="H8" s="221" t="n"/>
    </x:row>
    <x:row r="9">
      <x:c r="A9" s="225" t="inlineStr">
        <x:is>
          <x:t xml:space="preserve">陳雅琪</x:t>
        </x:is>
      </x:c>
      <x:c r="B9" s="225" t="inlineStr">
        <x:is>
          <x:t xml:space="preserve">資訊</x:t>
        </x:is>
      </x:c>
      <x:c r="C9" s="225" t="n">
        <x:v>42000</x:v>
      </x:c>
      <x:c r="D9" s="225" t="n">
        <x:v>65</x:v>
      </x:c>
      <x:c r="E9" s="225" t="n">
        <x:v>2</x:v>
      </x:c>
      <x:c r="F9" s="221" t="n"/>
      <x:c r="G9" s="221" t="n"/>
      <x:c r="H9" s="221" t="n"/>
    </x:row>
    <x:row r="10">
      <x:c r="A10" s="225" t="inlineStr">
        <x:is>
          <x:t xml:space="preserve">李大明</x:t>
        </x:is>
      </x:c>
      <x:c r="B10" s="225" t="inlineStr">
        <x:is>
          <x:t xml:space="preserve">業務</x:t>
        </x:is>
      </x:c>
      <x:c r="C10" s="225" t="n">
        <x:v>51000</x:v>
      </x:c>
      <x:c r="D10" s="225" t="n">
        <x:v>78</x:v>
      </x:c>
      <x:c r="E10" s="225" t="n">
        <x:v>4</x:v>
      </x:c>
      <x:c r="F10" s="221" t="n"/>
      <x:c r="G10" s="221" t="n"/>
      <x:c r="H10" s="221" t="n"/>
    </x:row>
    <x:row r="11">
      <x:c r="A11" s="225" t="inlineStr">
        <x:is>
          <x:t xml:space="preserve">吳建志</x:t>
        </x:is>
      </x:c>
      <x:c r="B11" s="225" t="inlineStr">
        <x:is>
          <x:t xml:space="preserve">財務</x:t>
        </x:is>
      </x:c>
      <x:c r="C11" s="225" t="n">
        <x:v>52000</x:v>
      </x:c>
      <x:c r="D11" s="225" t="n">
        <x:v>83</x:v>
      </x:c>
      <x:c r="E11" s="225" t="n">
        <x:v>6</x:v>
      </x:c>
      <x:c r="F11" s="221" t="n"/>
      <x:c r="G11" s="221" t="n"/>
      <x:c r="H11" s="221" t="n"/>
    </x:row>
    <x:row r="12">
      <x:c r="A12" s="225" t="inlineStr">
        <x:is>
          <x:t xml:space="preserve">黃淑芬</x:t>
        </x:is>
      </x:c>
      <x:c r="B12" s="225" t="inlineStr">
        <x:is>
          <x:t xml:space="preserve">資訊</x:t>
        </x:is>
      </x:c>
      <x:c r="C12" s="225" t="n">
        <x:v>47000</x:v>
      </x:c>
      <x:c r="D12" s="225" t="n">
        <x:v>70</x:v>
      </x:c>
      <x:c r="E12" s="225" t="n">
        <x:v>3</x:v>
      </x:c>
      <x:c r="F12" s="221" t="n"/>
      <x:c r="G12" s="221" t="n"/>
      <x:c r="H12" s="221" t="n"/>
    </x:row>
    <x:row r="13">
      <x:c r="A13" s="225" t="inlineStr">
        <x:is>
          <x:t xml:space="preserve">趙國強</x:t>
        </x:is>
      </x:c>
      <x:c r="B13" s="225" t="inlineStr">
        <x:is>
          <x:t xml:space="preserve">業務</x:t>
        </x:is>
      </x:c>
      <x:c r="C13" s="225" t="n">
        <x:v>63000</x:v>
      </x:c>
      <x:c r="D13" s="225" t="n">
        <x:v>91</x:v>
      </x:c>
      <x:c r="E13" s="225" t="n">
        <x:v>8</x:v>
      </x:c>
      <x:c r="F13" s="221" t="n"/>
      <x:c r="G13" s="221" t="n"/>
      <x:c r="H13" s="221" t="n"/>
    </x:row>
    <x:row r="14">
      <x:c r="A14" s="221" t="n"/>
      <x:c r="B14" s="221" t="n"/>
      <x:c r="C14" s="221" t="n"/>
      <x:c r="D14" s="221" t="n"/>
      <x:c r="E14" s="221" t="n"/>
      <x:c r="F14" s="221" t="n"/>
      <x:c r="G14" s="221" t="n"/>
      <x:c r="H14" s="221" t="n"/>
    </x:row>
    <x:row r="15">
      <x:c r="A15" s="221" t="n"/>
      <x:c r="B15" s="221" t="n"/>
      <x:c r="C15" s="221" t="n"/>
      <x:c r="D15" s="221" t="n"/>
      <x:c r="E15" s="221" t="n"/>
      <x:c r="F15" s="221" t="n"/>
      <x:c r="G15" s="221" t="n"/>
      <x:c r="H15" s="221" t="n"/>
    </x:row>
    <x:row r="16">
      <x:c r="A16" s="223" t="inlineStr">
        <x:is>
          <x:t xml:space="preserve">🎯 練習題</x:t>
        </x:is>
      </x:c>
      <x:c r="G16" s="221" t="n"/>
      <x:c r="H16" s="221" t="n"/>
    </x:row>
    <x:row r="17">
      <x:c r="A17" s="226" t="inlineStr">
        <x:is>
          <x:t xml:space="preserve">難度</x:t>
        </x:is>
      </x:c>
      <x:c r="B17" s="226" t="inlineStr">
        <x:is>
          <x:t xml:space="preserve">題號</x:t>
        </x:is>
      </x:c>
      <x:c r="C17" s="226" t="inlineStr">
        <x:is>
          <x:t xml:space="preserve">任務描述</x:t>
        </x:is>
      </x:c>
      <x:c r="D17" s="226" t="inlineStr">
        <x:is>
          <x:t xml:space="preserve">你的答案 ▼</x:t>
        </x:is>
      </x:c>
      <x:c r="E17" s="226" t="inlineStr">
        <x:is>
          <x:t xml:space="preserve">結果</x:t>
        </x:is>
      </x:c>
      <x:c r="F17" s="226" t="inlineStr">
        <x:is>
          <x:t xml:space="preserve">提示（反白可見）</x:t>
        </x:is>
      </x:c>
      <x:c r="G17" s="221" t="n"/>
      <x:c r="H17" s="221" t="n"/>
    </x:row>
    <x:row r="18">
      <x:c r="A18" s="227" t="inlineStr">
        <x:is>
          <x:t xml:space="preserve">🟢</x:t>
        </x:is>
      </x:c>
      <x:c r="B18" s="225" t="n">
        <x:v>1</x:v>
      </x:c>
      <x:c r="C18" s="225" t="inlineStr">
        <x:is>
          <x:t xml:space="preserve">計算業務部有幾個人</x:t>
        </x:is>
      </x:c>
      <x:c r="D18" s="228" t="n"/>
      <x:c r="E18" s="225" t="str">
        <x:f>IF(D18="","",IF(ROUND(D18,2)=ROUND(H18,2),"✅ 正確！","❌ 再想想"))</x:f>
      </x:c>
      <x:c r="F18" s="229" t="inlineStr">
        <x:is>
          <x:t xml:space="preserve">COUNTIF(範圍,"業務")</x:t>
        </x:is>
      </x:c>
      <x:c r="G18" s="221" t="n"/>
      <x:c r="H18" s="216" t="n">
        <x:f>COUNTIF(B6:B13,"業務")</x:f>
        <x:v>4</x:v>
      </x:c>
    </x:row>
    <x:row r="19">
      <x:c r="A19" s="227" t="inlineStr">
        <x:is>
          <x:t xml:space="preserve">🟢</x:t>
        </x:is>
      </x:c>
      <x:c r="B19" s="225" t="n">
        <x:v>2</x:v>
      </x:c>
      <x:c r="C19" s="225" t="inlineStr">
        <x:is>
          <x:t xml:space="preserve">計算月薪超過 50000 的人數</x:t>
        </x:is>
      </x:c>
      <x:c r="D19" s="228" t="n"/>
      <x:c r="E19" s="225" t="str">
        <x:f>IF(D19="","",IF(ROUND(D19,2)=ROUND(H19,2),"✅ 正確！","❌ 再想想"))</x:f>
      </x:c>
      <x:c r="F19" s="229" t="inlineStr">
        <x:is>
          <x:t xml:space="preserve">COUNTIF(範圍,"&gt;50000")</x:t>
        </x:is>
      </x:c>
      <x:c r="G19" s="221" t="n"/>
      <x:c r="H19" s="216" t="n">
        <x:f>COUNTIF(C6:C13,"&gt;"&amp;50000)</x:f>
        <x:v>5</x:v>
      </x:c>
    </x:row>
    <x:row r="20">
      <x:c r="A20" s="230" t="inlineStr">
        <x:is>
          <x:t xml:space="preserve">🔵</x:t>
        </x:is>
      </x:c>
      <x:c r="B20" s="225" t="n">
        <x:v>3</x:v>
      </x:c>
      <x:c r="C20" s="225" t="inlineStr">
        <x:is>
          <x:t xml:space="preserve">計算業務部的薪資總和</x:t>
        </x:is>
      </x:c>
      <x:c r="D20" s="228" t="n"/>
      <x:c r="E20" s="225" t="str">
        <x:f>IF(D20="","",IF(ROUND(D20,2)=ROUND(H20,2),"✅ 正確！","❌ 再想想"))</x:f>
      </x:c>
      <x:c r="F20" s="229" t="inlineStr">
        <x:is>
          <x:t xml:space="preserve">SUMIF(條件範圍,"條件",加總範圍)</x:t>
        </x:is>
      </x:c>
      <x:c r="G20" s="221" t="n"/>
      <x:c r="H20" s="216" t="n">
        <x:f>SUMIF(B6:B13,"業務",C6:C13)</x:f>
        <x:v>237000</x:v>
      </x:c>
    </x:row>
    <x:row r="21">
      <x:c r="A21" s="230" t="inlineStr">
        <x:is>
          <x:t xml:space="preserve">🔵</x:t>
        </x:is>
      </x:c>
      <x:c r="B21" s="225" t="n">
        <x:v>4</x:v>
      </x:c>
      <x:c r="C21" s="225" t="inlineStr">
        <x:is>
          <x:t xml:space="preserve">計算資訊部的平均績效</x:t>
        </x:is>
      </x:c>
      <x:c r="D21" s="228" t="n"/>
      <x:c r="E21" s="225" t="str">
        <x:f>IF(D21="","",IF(ROUND(D21,2)=ROUND(H21,2),"✅ 正確！","❌ 再想想"))</x:f>
      </x:c>
      <x:c r="F21" s="229" t="inlineStr">
        <x:is>
          <x:t xml:space="preserve">AVERAGEIF(條件範圍,"條件",平均範圍)</x:t>
        </x:is>
      </x:c>
      <x:c r="G21" s="221" t="n"/>
      <x:c r="H21" s="216" t="n">
        <x:f>AVERAGEIF(B6:B13,"資訊",D6:D13)</x:f>
        <x:v>67.5</x:v>
      </x:c>
    </x:row>
    <x:row r="22">
      <x:c r="A22" s="231" t="inlineStr">
        <x:is>
          <x:t xml:space="preserve">🟡</x:t>
        </x:is>
      </x:c>
      <x:c r="B22" s="225" t="n">
        <x:v>5</x:v>
      </x:c>
      <x:c r="C22" s="225" t="inlineStr">
        <x:is>
          <x:t xml:space="preserve">計算績效 ≥ 80 的人數</x:t>
        </x:is>
      </x:c>
      <x:c r="D22" s="228" t="n"/>
      <x:c r="E22" s="225" t="str">
        <x:f>IF(D22="","",IF(ROUND(D22,2)=ROUND(H22,2),"✅ 正確！","❌ 再想想"))</x:f>
      </x:c>
      <x:c r="F22" s="229" t="inlineStr">
        <x:is>
          <x:t xml:space="preserve">COUNTIF(範圍,"&gt;=80")</x:t>
        </x:is>
      </x:c>
      <x:c r="G22" s="221" t="n"/>
      <x:c r="H22" s="216" t="n">
        <x:f>COUNTIF(D6:D13,"&gt;="&amp;80)</x:f>
        <x:v>4</x:v>
      </x:c>
    </x:row>
    <x:row r="23">
      <x:c r="A23" s="231" t="inlineStr">
        <x:is>
          <x:t xml:space="preserve">🟡</x:t>
        </x:is>
      </x:c>
      <x:c r="B23" s="225" t="n">
        <x:v>6</x:v>
      </x:c>
      <x:c r="C23" s="225" t="inlineStr">
        <x:is>
          <x:t xml:space="preserve">計算年資 ≥ 5 的員工薪資總和</x:t>
        </x:is>
      </x:c>
      <x:c r="D23" s="228" t="n"/>
      <x:c r="E23" s="225" t="str">
        <x:f>IF(D23="","",IF(ROUND(D23,2)=ROUND(H23,2),"✅ 正確！","❌ 再想想"))</x:f>
      </x:c>
      <x:c r="F23" s="229" t="inlineStr">
        <x:is>
          <x:t xml:space="preserve">SUMIF(年資欄,"&gt;=5",薪資欄)</x:t>
        </x:is>
      </x:c>
      <x:c r="G23" s="221" t="n"/>
      <x:c r="H23" s="216" t="n">
        <x:f>SUMIF(E6:E13,"&gt;="&amp;5,C6:C13)</x:f>
        <x:v>231000</x:v>
      </x:c>
    </x:row>
    <x:row r="24">
      <x:c r="A24" s="232" t="inlineStr">
        <x:is>
          <x:t xml:space="preserve">🔴</x:t>
        </x:is>
      </x:c>
      <x:c r="B24" s="225" t="n">
        <x:v>7</x:v>
      </x:c>
      <x:c r="C24" s="225" t="inlineStr">
        <x:is>
          <x:t xml:space="preserve">計算業務部且績效≥80 的人數（COUNTIFS）</x:t>
        </x:is>
      </x:c>
      <x:c r="D24" s="228" t="n"/>
      <x:c r="E24" s="225" t="str">
        <x:f>IF(D24="","",IF(ROUND(D24,2)=ROUND(H24,2),"✅ 正確！","❌ 再想想"))</x:f>
      </x:c>
      <x:c r="F24" s="229" t="inlineStr">
        <x:is>
          <x:t xml:space="preserve">COUNTIFS(欄1,"條件1",欄2,"條件2")</x:t>
        </x:is>
      </x:c>
      <x:c r="G24" s="221" t="n"/>
      <x:c r="H24" s="216" t="n">
        <x:f>COUNTIFS(B6:B13,"業務",D6:D13,"&gt;="&amp;80)</x:f>
        <x:v>3</x:v>
      </x:c>
    </x:row>
    <x:row r="25">
      <x:c r="A25" s="232" t="inlineStr">
        <x:is>
          <x:t xml:space="preserve">🔴</x:t>
        </x:is>
      </x:c>
      <x:c r="B25" s="225" t="n">
        <x:v>8</x:v>
      </x:c>
      <x:c r="C25" s="225" t="inlineStr">
        <x:is>
          <x:t xml:space="preserve">計算財務部且年資≥5 的平均薪資（AVERAGEIFS）</x:t>
        </x:is>
      </x:c>
      <x:c r="D25" s="228" t="n"/>
      <x:c r="E25" s="225" t="str">
        <x:f>IF(D25="","",IF(ROUND(D25,2)=ROUND(H25,2),"✅ 正確！","❌ 再想想"))</x:f>
      </x:c>
      <x:c r="F25" s="229" t="inlineStr">
        <x:is>
          <x:t xml:space="preserve">AVERAGEIFS(平均欄,條件欄1,"條件1",條件欄2,"條件2")</x:t>
        </x:is>
      </x:c>
      <x:c r="G25" s="221" t="n"/>
      <x:c r="H25" s="216" t="n">
        <x:f>AVERAGEIFS(C6:C13,B6:B13,"財務",E6:E13,"&gt;="&amp;5)</x:f>
        <x:v>50000</x:v>
      </x:c>
    </x:row>
    <x:row r="26">
      <x:c r="A26" s="221" t="n"/>
      <x:c r="B26" s="221" t="n"/>
      <x:c r="C26" s="221" t="n"/>
      <x:c r="D26" s="221" t="n"/>
      <x:c r="E26" s="221" t="n"/>
      <x:c r="F26" s="221" t="n"/>
      <x:c r="G26" s="221" t="n"/>
      <x:c r="H26" s="221" t="n"/>
    </x:row>
    <x:row r="27">
      <x:c r="A27" s="221" t="n"/>
      <x:c r="B27" s="221" t="n"/>
      <x:c r="C27" s="233" t="inlineStr">
        <x:is>
          <x:t xml:space="preserve">得分：</x:t>
        </x:is>
      </x:c>
      <x:c r="D27" s="234" t="str">
        <x:f>COUNTIF(E19:E26,"✅ 正確！") &amp; " / 8 正確"</x:f>
        <x:v>0 / 8 正確</x:v>
      </x:c>
      <x:c r="E27" s="221" t="n"/>
      <x:c r="F27" s="221" t="n"/>
      <x:c r="G27" s="221" t="n"/>
      <x:c r="H27" s="221" t="n"/>
    </x:row>
    <x:row r="28">
      <x:c r="A28" s="221" t="n"/>
      <x:c r="B28" s="221" t="n"/>
      <x:c r="C28" s="221" t="n"/>
      <x:c r="D28" s="221" t="n"/>
      <x:c r="E28" s="221" t="n"/>
      <x:c r="F28" s="221" t="n"/>
      <x:c r="G28" s="221" t="n"/>
      <x:c r="H28" s="221" t="n"/>
    </x:row>
  </x:sheetData>
  <x:mergeCells>
    <x:mergeCell ref="A1:F1"/>
    <x:mergeCell ref="A16:F16"/>
    <x:mergeCell ref="A2:F2"/>
    <x:mergeCell ref="A4:E4"/>
  </x:mergeCells>
  <x:conditionalFormatting sqref="D18:D18">
    <x:cfRule type="expression" dxfId="17" priority="1">
      <x:formula>AND(D18&lt;&gt;"",ROUND(D18,2)=ROUND(H18,2))</x:formula>
    </x:cfRule>
  </x:conditionalFormatting>
  <x:conditionalFormatting sqref="D19:D19">
    <x:cfRule type="expression" dxfId="17" priority="2">
      <x:formula>AND(D19&lt;&gt;"",ROUND(D19,2)=ROUND(H19,2))</x:formula>
    </x:cfRule>
  </x:conditionalFormatting>
  <x:conditionalFormatting sqref="D20:D20">
    <x:cfRule type="expression" dxfId="17" priority="3">
      <x:formula>AND(D20&lt;&gt;"",ROUND(D20,2)=ROUND(H20,2))</x:formula>
    </x:cfRule>
  </x:conditionalFormatting>
  <x:conditionalFormatting sqref="D21:D21">
    <x:cfRule type="expression" dxfId="17" priority="4">
      <x:formula>AND(D21&lt;&gt;"",ROUND(D21,2)=ROUND(H21,2))</x:formula>
    </x:cfRule>
  </x:conditionalFormatting>
  <x:conditionalFormatting sqref="D22:D22">
    <x:cfRule type="expression" dxfId="17" priority="5">
      <x:formula>AND(D22&lt;&gt;"",ROUND(D22,2)=ROUND(H22,2))</x:formula>
    </x:cfRule>
  </x:conditionalFormatting>
  <x:conditionalFormatting sqref="D23:D23">
    <x:cfRule type="expression" dxfId="17" priority="6">
      <x:formula>AND(D23&lt;&gt;"",ROUND(D23,2)=ROUND(H23,2))</x:formula>
    </x:cfRule>
  </x:conditionalFormatting>
  <x:conditionalFormatting sqref="D24:D24">
    <x:cfRule type="expression" dxfId="17" priority="7">
      <x:formula>AND(D24&lt;&gt;"",ROUND(D24,2)=ROUND(H24,2))</x:formula>
    </x:cfRule>
  </x:conditionalFormatting>
  <x:conditionalFormatting sqref="D25:D25">
    <x:cfRule type="expression" dxfId="17" priority="8">
      <x:formula>AND(D25&lt;&gt;"",ROUND(D25,2)=ROUND(H25,2))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5" style="113" customWidth="1"/>
    <x:col min="2" max="2" width="8" style="113" customWidth="1"/>
    <x:col min="3" max="3" width="40" style="113" customWidth="1"/>
    <x:col min="4" max="4" width="22" style="113" customWidth="1"/>
    <x:col min="5" max="5" width="12" style="113" customWidth="1"/>
    <x:col min="6" max="6" width="35" style="113" customWidth="1"/>
    <x:col min="7" max="7" width="5" style="113" customWidth="1"/>
    <x:col min="8" max="8" width="25" style="113" customWidth="1"/>
  </x:cols>
  <x:sheetData>
    <x:row r="1" s="113" customFormat="1" ht="36" customHeight="1">
      <x:c r="A1" s="182" t="inlineStr">
        <x:is>
          <x:t xml:space="preserve">🔍 查找比對互動練習</x:t>
        </x:is>
      </x:c>
    </x:row>
    <x:row r="2">
      <x:c r="A2" s="183" t="inlineStr">
        <x:is>
          <x:t xml:space="preserve">在黃色格子輸入公式 → 答對自動變綠 ✅ 答錯變紅 ❌</x:t>
        </x:is>
      </x:c>
    </x:row>
    <x:row r="4">
      <x:c r="A4" s="184" t="inlineStr">
        <x:is>
          <x:t xml:space="preserve">【產品資料表】</x:t>
        </x:is>
      </x:c>
      <x:c r="B4" s="185" t="n"/>
      <x:c r="C4" s="185" t="n"/>
      <x:c r="D4" s="185" t="n"/>
      <x:c r="E4" s="186" t="n"/>
    </x:row>
    <x:row r="5">
      <x:c r="A5" s="187" t="inlineStr">
        <x:is>
          <x:t xml:space="preserve">產品代碼</x:t>
        </x:is>
      </x:c>
      <x:c r="B5" s="187" t="inlineStr">
        <x:is>
          <x:t xml:space="preserve">產品名稱</x:t>
        </x:is>
      </x:c>
      <x:c r="C5" s="187" t="inlineStr">
        <x:is>
          <x:t xml:space="preserve">類別</x:t>
        </x:is>
      </x:c>
      <x:c r="D5" s="187" t="inlineStr">
        <x:is>
          <x:t xml:space="preserve">單價</x:t>
        </x:is>
      </x:c>
      <x:c r="E5" s="187" t="inlineStr">
        <x:is>
          <x:t xml:space="preserve">庫存</x:t>
        </x:is>
      </x:c>
    </x:row>
    <x:row r="6">
      <x:c r="A6" s="210" t="inlineStr">
        <x:is>
          <x:t xml:space="preserve">P001</x:t>
        </x:is>
      </x:c>
      <x:c r="B6" s="210" t="inlineStr">
        <x:is>
          <x:t xml:space="preserve">無線滑鼠</x:t>
        </x:is>
      </x:c>
      <x:c r="C6" s="210" t="inlineStr">
        <x:is>
          <x:t xml:space="preserve">周邊</x:t>
        </x:is>
      </x:c>
      <x:c r="D6" s="189" t="n">
        <x:v>590</x:v>
      </x:c>
      <x:c r="E6" s="189" t="n">
        <x:v>120</x:v>
      </x:c>
    </x:row>
    <x:row r="7">
      <x:c r="A7" s="210" t="inlineStr">
        <x:is>
          <x:t xml:space="preserve">P002</x:t>
        </x:is>
      </x:c>
      <x:c r="B7" s="210" t="inlineStr">
        <x:is>
          <x:t xml:space="preserve">機械鍵盤</x:t>
        </x:is>
      </x:c>
      <x:c r="C7" s="210" t="inlineStr">
        <x:is>
          <x:t xml:space="preserve">周邊</x:t>
        </x:is>
      </x:c>
      <x:c r="D7" s="189" t="n">
        <x:v>2200</x:v>
      </x:c>
      <x:c r="E7" s="211" t="n">
        <x:v>45</x:v>
      </x:c>
    </x:row>
    <x:row r="8">
      <x:c r="A8" s="210" t="inlineStr">
        <x:is>
          <x:t xml:space="preserve">P003</x:t>
        </x:is>
      </x:c>
      <x:c r="B8" s="210" t="inlineStr">
        <x:is>
          <x:t xml:space="preserve">27吋螢幕</x:t>
        </x:is>
      </x:c>
      <x:c r="C8" s="210" t="inlineStr">
        <x:is>
          <x:t xml:space="preserve">顯示</x:t>
        </x:is>
      </x:c>
      <x:c r="D8" s="189" t="n">
        <x:v>8900</x:v>
      </x:c>
      <x:c r="E8" s="211" t="n">
        <x:v>18</x:v>
      </x:c>
    </x:row>
    <x:row r="9">
      <x:c r="A9" s="210" t="inlineStr">
        <x:is>
          <x:t xml:space="preserve">P004</x:t>
        </x:is>
      </x:c>
      <x:c r="B9" s="210" t="inlineStr">
        <x:is>
          <x:t xml:space="preserve">網路攝影機</x:t>
        </x:is>
      </x:c>
      <x:c r="C9" s="210" t="inlineStr">
        <x:is>
          <x:t xml:space="preserve">周邊</x:t>
        </x:is>
      </x:c>
      <x:c r="D9" s="189" t="n">
        <x:v>1500</x:v>
      </x:c>
      <x:c r="E9" s="211" t="n">
        <x:v>67</x:v>
      </x:c>
    </x:row>
    <x:row r="10">
      <x:c r="A10" s="210" t="inlineStr">
        <x:is>
          <x:t xml:space="preserve">P005</x:t>
        </x:is>
      </x:c>
      <x:c r="B10" s="210" t="inlineStr">
        <x:is>
          <x:t xml:space="preserve">USB集線器</x:t>
        </x:is>
      </x:c>
      <x:c r="C10" s="210" t="inlineStr">
        <x:is>
          <x:t xml:space="preserve">配件</x:t>
        </x:is>
      </x:c>
      <x:c r="D10" s="189" t="n">
        <x:v>450</x:v>
      </x:c>
      <x:c r="E10" s="189" t="n">
        <x:v>200</x:v>
      </x:c>
    </x:row>
    <x:row r="11">
      <x:c r="A11" s="210" t="inlineStr">
        <x:is>
          <x:t xml:space="preserve">P006</x:t>
        </x:is>
      </x:c>
      <x:c r="B11" s="210" t="inlineStr">
        <x:is>
          <x:t xml:space="preserve">外接硬碟</x:t>
        </x:is>
      </x:c>
      <x:c r="C11" s="210" t="inlineStr">
        <x:is>
          <x:t xml:space="preserve">儲存</x:t>
        </x:is>
      </x:c>
      <x:c r="D11" s="189" t="n">
        <x:v>2800</x:v>
      </x:c>
      <x:c r="E11" s="211" t="n">
        <x:v>32</x:v>
      </x:c>
    </x:row>
    <x:row r="13">
      <x:c r="A13" s="190" t="inlineStr">
        <x:is>
          <x:t xml:space="preserve">【互動練習】</x:t>
        </x:is>
      </x:c>
      <x:c r="B13" s="185" t="n"/>
      <x:c r="C13" s="185" t="n"/>
      <x:c r="D13" s="185" t="n"/>
      <x:c r="E13" s="185" t="n"/>
      <x:c r="F13" s="185" t="n"/>
      <x:c r="G13" s="185" t="n"/>
      <x:c r="H13" s="186" t="n"/>
    </x:row>
    <x:row r="14">
      <x:c r="A14" s="187" t="inlineStr">
        <x:is>
          <x:t xml:space="preserve">#</x:t>
        </x:is>
      </x:c>
      <x:c r="B14" s="187" t="inlineStr">
        <x:is>
          <x:t xml:space="preserve">難度</x:t>
        </x:is>
      </x:c>
      <x:c r="C14" s="187" t="inlineStr">
        <x:is>
          <x:t xml:space="preserve">任務描述</x:t>
        </x:is>
      </x:c>
      <x:c r="D14" s="187" t="inlineStr">
        <x:is>
          <x:t xml:space="preserve">你的答案 ▼</x:t>
        </x:is>
      </x:c>
      <x:c r="E14" s="187" t="inlineStr">
        <x:is>
          <x:t xml:space="preserve">結果</x:t>
        </x:is>
      </x:c>
      <x:c r="F14" s="187" t="inlineStr">
        <x:is>
          <x:t xml:space="preserve">提示（反白可見）</x:t>
        </x:is>
      </x:c>
    </x:row>
    <x:row r="15" s="113" customFormat="1" ht="30" customHeight="1">
      <x:c r="A15" s="192" t="n">
        <x:v>1</x:v>
      </x:c>
      <x:c r="B15" s="193" t="inlineStr">
        <x:is>
          <x:t xml:space="preserve">🟢</x:t>
        </x:is>
      </x:c>
      <x:c r="C15" s="212" t="inlineStr">
        <x:is>
          <x:t xml:space="preserve">VLOOKUP 查 P003 的產品名稱</x:t>
        </x:is>
      </x:c>
      <x:c r="D15" s="213" t="n"/>
      <x:c r="E15" s="214" t="str">
        <x:f>IF(D15="","",IF(D15=H15,"✅ 正確！","❌ 再想想"))</x:f>
      </x:c>
      <x:c r="F15" s="215" t="inlineStr">
        <x:is>
          <x:t xml:space="preserve">VLOOKUP(查找值,表格,第幾欄,0)</x:t>
        </x:is>
      </x:c>
      <x:c r="H15" s="216" t="str">
        <x:f>VLOOKUP("P003",A6:E11,2,0)</x:f>
        <x:v>27吋螢幕</x:v>
      </x:c>
    </x:row>
    <x:row r="16" s="113" customFormat="1" ht="30" customHeight="1">
      <x:c r="A16" s="192" t="n">
        <x:v>2</x:v>
      </x:c>
      <x:c r="B16" s="193" t="inlineStr">
        <x:is>
          <x:t xml:space="preserve">🟢</x:t>
        </x:is>
      </x:c>
      <x:c r="C16" s="212" t="inlineStr">
        <x:is>
          <x:t xml:space="preserve">VLOOKUP 查 P005 的單價</x:t>
        </x:is>
      </x:c>
      <x:c r="D16" s="213" t="n"/>
      <x:c r="E16" s="214" t="str">
        <x:f>IF(D16="","",IF(D16=H16,"✅ 正確！","❌ 再想想"))</x:f>
      </x:c>
      <x:c r="F16" s="215" t="inlineStr">
        <x:is>
          <x:t xml:space="preserve">第 4 欄=單價</x:t>
        </x:is>
      </x:c>
      <x:c r="H16" s="216" t="n">
        <x:f>VLOOKUP("P005",A6:E11,4,0)</x:f>
        <x:v>450</x:v>
      </x:c>
    </x:row>
    <x:row r="17" s="113" customFormat="1" ht="30" customHeight="1">
      <x:c r="A17" s="199" t="n">
        <x:v>3</x:v>
      </x:c>
      <x:c r="B17" s="200" t="inlineStr">
        <x:is>
          <x:t xml:space="preserve">🔵</x:t>
        </x:is>
      </x:c>
      <x:c r="C17" s="217" t="inlineStr">
        <x:is>
          <x:t xml:space="preserve">INDEX+MATCH 查 P003 名稱</x:t>
        </x:is>
      </x:c>
      <x:c r="D17" s="213" t="n"/>
      <x:c r="E17" s="214" t="str">
        <x:f>IF(D17="","",IF(D17=H17,"✅ 正確！","❌ 再想想"))</x:f>
      </x:c>
      <x:c r="F17" s="215" t="inlineStr">
        <x:is>
          <x:t xml:space="preserve">MATCH 找位置，INDEX 取值</x:t>
        </x:is>
      </x:c>
      <x:c r="H17" s="216" t="str">
        <x:f>INDEX(B6:B11,MATCH("P003",A6:A11,0))</x:f>
        <x:v>27吋螢幕</x:v>
      </x:c>
    </x:row>
    <x:row r="18" s="113" customFormat="1" ht="30" customHeight="1">
      <x:c r="A18" s="199" t="n">
        <x:v>4</x:v>
      </x:c>
      <x:c r="B18" s="200" t="inlineStr">
        <x:is>
          <x:t xml:space="preserve">🔵</x:t>
        </x:is>
      </x:c>
      <x:c r="C18" s="217" t="inlineStr">
        <x:is>
          <x:t xml:space="preserve">XLOOKUP 查 P003 名稱（365 版）</x:t>
        </x:is>
      </x:c>
      <x:c r="D18" s="213" t="n"/>
      <x:c r="E18" s="214" t="str">
        <x:f>IF(D18="","",IF(D18=H18,"✅ 正確！","❌ 再想想"))</x:f>
      </x:c>
      <x:c r="F18" s="215" t="inlineStr">
        <x:is>
          <x:t xml:space="preserve">XLOOKUP(查,查找欄,回傳欄)</x:t>
        </x:is>
      </x:c>
      <x:c r="H18" s="216" t="str">
        <x:f>XLOOKUP("P003",A6:A11,B6:B11)</x:f>
        <x:v>27吋螢幕</x:v>
      </x:c>
    </x:row>
    <x:row r="19" s="113" customFormat="1" ht="30" customHeight="1">
      <x:c r="A19" s="202" t="n">
        <x:v>5</x:v>
      </x:c>
      <x:c r="B19" s="203" t="inlineStr">
        <x:is>
          <x:t xml:space="preserve">🟡</x:t>
        </x:is>
      </x:c>
      <x:c r="C19" s="218" t="inlineStr">
        <x:is>
          <x:t xml:space="preserve">反向查找：已知「機械鍵盤」查代碼</x:t>
        </x:is>
      </x:c>
      <x:c r="D19" s="213" t="n"/>
      <x:c r="E19" s="214" t="str">
        <x:f>IF(D19="","",IF(D19=H19,"✅ 正確！","❌ 再想想"))</x:f>
      </x:c>
      <x:c r="F19" s="215" t="inlineStr">
        <x:is>
          <x:t xml:space="preserve">INDEX+MATCH 可以往左查</x:t>
        </x:is>
      </x:c>
      <x:c r="H19" s="216" t="str">
        <x:f>INDEX(A6:A11,MATCH("機械鍵盤",B6:B11,0))</x:f>
        <x:v>P002</x:v>
      </x:c>
    </x:row>
    <x:row r="20" s="113" customFormat="1" ht="30" customHeight="1">
      <x:c r="A20" s="202" t="n">
        <x:v>6</x:v>
      </x:c>
      <x:c r="B20" s="203" t="inlineStr">
        <x:is>
          <x:t xml:space="preserve">🟡</x:t>
        </x:is>
      </x:c>
      <x:c r="C20" s="218" t="inlineStr">
        <x:is>
          <x:t xml:space="preserve">查不到 P999 時顯示「無此商品」</x:t>
        </x:is>
      </x:c>
      <x:c r="D20" s="213" t="n"/>
      <x:c r="E20" s="214" t="str">
        <x:f>IF(D20="","",IF(D20=H20,"✅ 正確！","❌ 再想想"))</x:f>
      </x:c>
      <x:c r="F20" s="215" t="inlineStr">
        <x:is>
          <x:t xml:space="preserve">IFERROR 包住公式</x:t>
        </x:is>
      </x:c>
      <x:c r="H20" s="216" t="str">
        <x:f>IFERROR(VLOOKUP("P999",A6:E11,2,0),"無此商品")</x:f>
        <x:v>無此商品</x:v>
      </x:c>
    </x:row>
    <x:row r="21" s="113" customFormat="1" ht="30" customHeight="1">
      <x:c r="A21" s="205" t="n">
        <x:v>7</x:v>
      </x:c>
      <x:c r="B21" s="206" t="inlineStr">
        <x:is>
          <x:t xml:space="preserve">🔴</x:t>
        </x:is>
      </x:c>
      <x:c r="C21" s="219" t="inlineStr">
        <x:is>
          <x:t xml:space="preserve">MATCH：「27吋螢幕」在第幾列</x:t>
        </x:is>
      </x:c>
      <x:c r="D21" s="213" t="n"/>
      <x:c r="E21" s="214" t="str">
        <x:f>IF(D21="","",IF(D21=H21,"✅ 正確！","❌ 再想想"))</x:f>
      </x:c>
      <x:c r="F21" s="215" t="inlineStr">
        <x:is>
          <x:t xml:space="preserve">MATCH 回傳相對位置</x:t>
        </x:is>
      </x:c>
      <x:c r="H21" s="216" t="n">
        <x:f>MATCH("27吋螢幕",B6:B11,0)</x:f>
        <x:v>3</x:v>
      </x:c>
    </x:row>
    <x:row r="22" s="113" customFormat="1" ht="30" customHeight="1">
      <x:c r="A22" s="205" t="n">
        <x:v>8</x:v>
      </x:c>
      <x:c r="B22" s="206" t="inlineStr">
        <x:is>
          <x:t xml:space="preserve">🔴</x:t>
        </x:is>
      </x:c>
      <x:c r="C22" s="219" t="inlineStr">
        <x:is>
          <x:t xml:space="preserve">XLOOKUP 查 P001，找不到回傳「N/A」</x:t>
        </x:is>
      </x:c>
      <x:c r="D22" s="213" t="n"/>
      <x:c r="E22" s="214" t="str">
        <x:f>IF(D22="","",IF(D22=H22,"✅ 正確！","❌ 再想想"))</x:f>
      </x:c>
      <x:c r="F22" s="215" t="inlineStr">
        <x:is>
          <x:t xml:space="preserve">XLOOKUP 第 4 參數=找不到時</x:t>
        </x:is>
      </x:c>
      <x:c r="H22" s="216" t="str">
        <x:f>XLOOKUP("P001",A6:A11,B6:B11,"N/A")</x:f>
        <x:v>無線滑鼠</x:v>
      </x:c>
    </x:row>
    <x:row r="24">
      <x:c r="C24" s="208" t="inlineStr">
        <x:is>
          <x:t xml:space="preserve">得分：</x:t>
        </x:is>
      </x:c>
      <x:c r="D24" s="209" t="str">
        <x:f>COUNTIF(E15:E22,"✅ 正確！") &amp; " / 8 正確"</x:f>
        <x:v>0 / 8 正確</x:v>
      </x:c>
      <x:c r="E24" s="186" t="n"/>
    </x:row>
  </x:sheetData>
  <x:mergeCells>
    <x:mergeCell ref="A4:E4"/>
    <x:mergeCell ref="D24:E24"/>
    <x:mergeCell ref="A2:H2"/>
    <x:mergeCell ref="A13:H13"/>
    <x:mergeCell ref="A1:H1"/>
  </x:mergeCells>
  <x:conditionalFormatting sqref="D15:D15">
    <x:cfRule type="expression" dxfId="17" priority="1">
      <x:formula>AND(D15&lt;&gt;"",D15=H15)</x:formula>
    </x:cfRule>
    <x:cfRule type="expression" dxfId="18" priority="2">
      <x:formula>AND(D15&lt;&gt;"",D15&lt;&gt;H15)</x:formula>
    </x:cfRule>
  </x:conditionalFormatting>
  <x:conditionalFormatting sqref="D16:D16">
    <x:cfRule type="expression" dxfId="17" priority="3">
      <x:formula>AND(D16&lt;&gt;"",D16=H16)</x:formula>
    </x:cfRule>
    <x:cfRule type="expression" dxfId="18" priority="4">
      <x:formula>AND(D16&lt;&gt;"",D16&lt;&gt;H16)</x:formula>
    </x:cfRule>
  </x:conditionalFormatting>
  <x:conditionalFormatting sqref="D17:D17">
    <x:cfRule type="expression" dxfId="17" priority="5">
      <x:formula>AND(D17&lt;&gt;"",D17=H17)</x:formula>
    </x:cfRule>
    <x:cfRule type="expression" dxfId="18" priority="6">
      <x:formula>AND(D17&lt;&gt;"",D17&lt;&gt;H17)</x:formula>
    </x:cfRule>
  </x:conditionalFormatting>
  <x:conditionalFormatting sqref="D18:D18">
    <x:cfRule type="expression" dxfId="17" priority="7">
      <x:formula>AND(D18&lt;&gt;"",D18=H18)</x:formula>
    </x:cfRule>
    <x:cfRule type="expression" dxfId="18" priority="8">
      <x:formula>AND(D18&lt;&gt;"",D18&lt;&gt;H18)</x:formula>
    </x:cfRule>
  </x:conditionalFormatting>
  <x:conditionalFormatting sqref="D19:D19">
    <x:cfRule type="expression" dxfId="17" priority="9">
      <x:formula>AND(D19&lt;&gt;"",D19=H19)</x:formula>
    </x:cfRule>
    <x:cfRule type="expression" dxfId="18" priority="10">
      <x:formula>AND(D19&lt;&gt;"",D19&lt;&gt;H19)</x:formula>
    </x:cfRule>
  </x:conditionalFormatting>
  <x:conditionalFormatting sqref="D20:D20">
    <x:cfRule type="expression" dxfId="17" priority="11">
      <x:formula>AND(D20&lt;&gt;"",D20=H20)</x:formula>
    </x:cfRule>
    <x:cfRule type="expression" dxfId="18" priority="12">
      <x:formula>AND(D20&lt;&gt;"",D20&lt;&gt;H20)</x:formula>
    </x:cfRule>
  </x:conditionalFormatting>
  <x:conditionalFormatting sqref="D21:D21">
    <x:cfRule type="expression" dxfId="17" priority="13">
      <x:formula>AND(D21&lt;&gt;"",D21=H21)</x:formula>
    </x:cfRule>
    <x:cfRule type="expression" dxfId="18" priority="14">
      <x:formula>AND(D21&lt;&gt;"",D21&lt;&gt;H21)</x:formula>
    </x:cfRule>
  </x:conditionalFormatting>
  <x:conditionalFormatting sqref="D22:D22">
    <x:cfRule type="expression" dxfId="17" priority="15">
      <x:formula>AND(D22&lt;&gt;"",D22=H22)</x:formula>
    </x:cfRule>
    <x:cfRule type="expression" dxfId="18" priority="16">
      <x:formula>AND(D22&lt;&gt;"",D22&lt;&gt;H22)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0" t="inlineStr">
        <x:is>
          <x:t xml:space="preserve">📊 樞紐分析表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難度：🔵 Lv.2  |  資料分析的核心武器  |  面試必考</x:t>
        </x:is>
      </x:c>
    </x:row>
    <x:row r="4" s="113" customFormat="1" ht="21.75" customHeight="1">
      <x:c r="A4" s="5" t="inlineStr">
        <x:is>
          <x:t xml:space="preserve">📌 建立步驟</x:t>
        </x:is>
      </x:c>
      <x:c r="B4" s="2" t="n"/>
      <x:c r="C4" s="2" t="n"/>
      <x:c r="D4" s="3" t="n"/>
    </x:row>
    <x:row r="5" s="113" customFormat="1" ht="24" customHeight="1">
      <x:c r="A5" s="9" t="inlineStr">
        <x:is>
          <x:t xml:space="preserve">Step 1</x:t>
        </x:is>
      </x:c>
      <x:c r="B5" s="7" t="inlineStr">
        <x:is>
          <x:t xml:space="preserve">選取資料範圍（建議先轉為表格 ⌘+T）</x:t>
        </x:is>
      </x:c>
      <x:c r="C5" s="2" t="n"/>
      <x:c r="D5" s="3" t="n"/>
    </x:row>
    <x:row r="6" s="113" customFormat="1" ht="24" customHeight="1">
      <x:c r="A6" s="9" t="inlineStr">
        <x:is>
          <x:t xml:space="preserve">Step 2</x:t>
        </x:is>
      </x:c>
      <x:c r="B6" s="7" t="inlineStr">
        <x:is>
          <x:t xml:space="preserve">插入 → 樞紐分析表 → 選擇放置位置</x:t>
        </x:is>
      </x:c>
      <x:c r="C6" s="2" t="n"/>
      <x:c r="D6" s="3" t="n"/>
    </x:row>
    <x:row r="7" s="113" customFormat="1" ht="24" customHeight="1">
      <x:c r="A7" s="9" t="inlineStr">
        <x:is>
          <x:t xml:space="preserve">Step 3</x:t>
        </x:is>
      </x:c>
      <x:c r="B7" s="7" t="inlineStr">
        <x:is>
          <x:t xml:space="preserve">拖拉欄位到四個區域：列/欄/值/篩選</x:t>
        </x:is>
      </x:c>
      <x:c r="C7" s="2" t="n"/>
      <x:c r="D7" s="3" t="n"/>
    </x:row>
    <x:row r="8" s="113" customFormat="1" ht="24" customHeight="1">
      <x:c r="A8" s="9" t="inlineStr">
        <x:is>
          <x:t xml:space="preserve">Step 4</x:t>
        </x:is>
      </x:c>
      <x:c r="B8" s="7" t="inlineStr">
        <x:is>
          <x:t xml:space="preserve">值欄位設定：加總、計數、平均等</x:t>
        </x:is>
      </x:c>
      <x:c r="C8" s="2" t="n"/>
      <x:c r="D8" s="3" t="n"/>
    </x:row>
    <x:row r="10" s="113" customFormat="1" ht="21.75" customHeight="1">
      <x:c r="A10" s="5" t="inlineStr">
        <x:is>
          <x:t xml:space="preserve">🔧 四大區域</x:t>
        </x:is>
      </x:c>
      <x:c r="B10" s="2" t="n"/>
      <x:c r="C10" s="2" t="n"/>
      <x:c r="D10" s="3" t="n"/>
    </x:row>
    <x:row r="11" s="113" customFormat="1" ht="24" customHeight="1">
      <x:c r="A11" s="6" t="inlineStr">
        <x:is>
          <x:t xml:space="preserve">列（Rows）</x:t>
        </x:is>
      </x:c>
      <x:c r="B11" s="7" t="inlineStr">
        <x:is>
          <x:t xml:space="preserve">放分類欄位（如：部門、產品類別）</x:t>
        </x:is>
      </x:c>
      <x:c r="C11" s="7" t="inlineStr">
        <x:is>
          <x:t xml:space="preserve">決定表格「垂直方向」怎麼分組</x:t>
        </x:is>
      </x:c>
      <x:c r="D11" s="8" t="inlineStr">
        <x:is>
          <x:t xml:space="preserve">通常放最主要的分析維度</x:t>
        </x:is>
      </x:c>
    </x:row>
    <x:row r="12" s="113" customFormat="1" ht="24" customHeight="1">
      <x:c r="A12" s="6" t="inlineStr">
        <x:is>
          <x:t xml:space="preserve">欄（Columns）</x:t>
        </x:is>
      </x:c>
      <x:c r="B12" s="7" t="inlineStr">
        <x:is>
          <x:t xml:space="preserve">放第二層分類（如：月份、年度）</x:t>
        </x:is>
      </x:c>
      <x:c r="C12" s="7" t="inlineStr">
        <x:is>
          <x:t xml:space="preserve">決定「水平方向」怎麼展開</x:t>
        </x:is>
      </x:c>
      <x:c r="D12" s="8" t="inlineStr">
        <x:is>
          <x:t xml:space="preserve">不要放太多，超過 5 個會太擠</x:t>
        </x:is>
      </x:c>
    </x:row>
    <x:row r="13" s="113" customFormat="1" ht="24" customHeight="1">
      <x:c r="A13" s="6" t="inlineStr">
        <x:is>
          <x:t xml:space="preserve">值（Values）</x:t>
        </x:is>
      </x:c>
      <x:c r="B13" s="7" t="inlineStr">
        <x:is>
          <x:t xml:space="preserve">放數值欄位（如：金額、數量）</x:t>
        </x:is>
      </x:c>
      <x:c r="C13" s="7" t="inlineStr">
        <x:is>
          <x:t xml:space="preserve">可選擇加總/計數/平均/最大/最小</x:t>
        </x:is>
      </x:c>
      <x:c r="D13" s="8" t="inlineStr">
        <x:is>
          <x:t xml:space="preserve">右鍵值 → 值欄位設定 → 改計算方式</x:t>
        </x:is>
      </x:c>
    </x:row>
    <x:row r="14" s="113" customFormat="1" ht="24" customHeight="1">
      <x:c r="A14" s="6" t="inlineStr">
        <x:is>
          <x:t xml:space="preserve">篩選（Filters）</x:t>
        </x:is>
      </x:c>
      <x:c r="B14" s="7" t="inlineStr">
        <x:is>
          <x:t xml:space="preserve">放全域篩選條件</x:t>
        </x:is>
      </x:c>
      <x:c r="C14" s="7" t="inlineStr">
        <x:is>
          <x:t xml:space="preserve">出現在樞紐表上方的下拉選單</x:t>
        </x:is>
      </x:c>
      <x:c r="D14" s="8" t="inlineStr">
        <x:is>
          <x:t xml:space="preserve">適合放年度、部門等大範圍篩選</x:t>
        </x:is>
      </x:c>
    </x:row>
    <x:row r="16" s="113" customFormat="1" ht="21.75" customHeight="1">
      <x:c r="A16" s="5" t="inlineStr">
        <x:is>
          <x:t xml:space="preserve">⚡ 進階技巧</x:t>
        </x:is>
      </x:c>
      <x:c r="B16" s="2" t="n"/>
      <x:c r="C16" s="2" t="n"/>
      <x:c r="D16" s="3" t="n"/>
    </x:row>
    <x:row r="17" s="113" customFormat="1" ht="24" customHeight="1">
      <x:c r="A17" s="6" t="inlineStr">
        <x:is>
          <x:t xml:space="preserve">群組化日期</x:t>
        </x:is>
      </x:c>
      <x:c r="B17" s="7" t="inlineStr">
        <x:is>
          <x:t xml:space="preserve">右鍵日期欄位 → 群組 → 選月/季/年</x:t>
        </x:is>
      </x:c>
      <x:c r="C17" s="7" t="inlineStr">
        <x:is>
          <x:t xml:space="preserve">把逐日資料自動彙整為月或季報</x:t>
        </x:is>
      </x:c>
      <x:c r="D17" s="8" t="inlineStr">
        <x:is>
          <x:t xml:space="preserve">最常被忽略但最實用的功能</x:t>
        </x:is>
      </x:c>
    </x:row>
    <x:row r="18" s="113" customFormat="1" ht="24" customHeight="1">
      <x:c r="A18" s="6" t="inlineStr">
        <x:is>
          <x:t xml:space="preserve">計算欄位</x:t>
        </x:is>
      </x:c>
      <x:c r="B18" s="7" t="inlineStr">
        <x:is>
          <x:t xml:space="preserve">分析 → 欄位/項目/集 → 計算欄位</x:t>
        </x:is>
      </x:c>
      <x:c r="C18" s="7" t="inlineStr">
        <x:is>
          <x:t xml:space="preserve">在樞紐表內新增公式欄（如利潤率）</x:t>
        </x:is>
      </x:c>
      <x:c r="D18" s="36" t="inlineStr">
        <x:is>
          <x:t xml:space="preserve"> =營收-成本 直接在樞紐內算</x:t>
        </x:is>
      </x:c>
    </x:row>
    <x:row r="19" s="113" customFormat="1" ht="24" customHeight="1">
      <x:c r="A19" s="6" t="inlineStr">
        <x:is>
          <x:t xml:space="preserve">顯示值為百分比</x:t>
        </x:is>
      </x:c>
      <x:c r="B19" s="7" t="inlineStr">
        <x:is>
          <x:t xml:space="preserve">右鍵值 → 值顯示方式 → 欄總計百分比</x:t>
        </x:is>
      </x:c>
      <x:c r="C19" s="7" t="inlineStr">
        <x:is>
          <x:t xml:space="preserve">看每個項目佔總體的比例</x:t>
        </x:is>
      </x:c>
      <x:c r="D19" s="8" t="inlineStr">
        <x:is>
          <x:t xml:space="preserve">老闆最愛看的格式</x:t>
        </x:is>
      </x:c>
    </x:row>
    <x:row r="20" s="113" customFormat="1" ht="24" customHeight="1">
      <x:c r="A20" s="6" t="inlineStr">
        <x:is>
          <x:t xml:space="preserve">交叉分析篩選器</x:t>
        </x:is>
      </x:c>
      <x:c r="B20" s="7" t="inlineStr">
        <x:is>
          <x:t xml:space="preserve">插入 → 交叉分析篩選器</x:t>
        </x:is>
      </x:c>
      <x:c r="C20" s="7" t="inlineStr">
        <x:is>
          <x:t xml:space="preserve">漂亮的按鈕式篩選，適合做儀表板</x:t>
        </x:is>
      </x:c>
      <x:c r="D20" s="8" t="inlineStr">
        <x:is>
          <x:t xml:space="preserve">多個樞紐表可以共用同一個篩選器</x:t>
        </x:is>
      </x:c>
    </x:row>
    <x:row r="21" s="113" customFormat="1" ht="24" customHeight="1">
      <x:c r="A21" s="6" t="inlineStr">
        <x:is>
          <x:t xml:space="preserve">資料模型</x:t>
        </x:is>
      </x:c>
      <x:c r="B21" s="7" t="inlineStr">
        <x:is>
          <x:t xml:space="preserve">勾選「新增至資料模型」</x:t>
        </x:is>
      </x:c>
      <x:c r="C21" s="7" t="inlineStr">
        <x:is>
          <x:t xml:space="preserve">可以跨表建立關聯，不用 VLOOKUP</x:t>
        </x:is>
      </x:c>
      <x:c r="D21" s="33" t="inlineStr">
        <x:is>
          <x:t xml:space="preserve">Power Pivot 的入口</x:t>
        </x:is>
      </x:c>
    </x:row>
    <x:row r="23" s="113" customFormat="1" ht="21.75" customHeight="1">
      <x:c r="A23" s="5" t="inlineStr">
        <x:is>
          <x:t xml:space="preserve">❌ 常見錯誤</x:t>
        </x:is>
      </x:c>
      <x:c r="B23" s="2" t="n"/>
      <x:c r="C23" s="2" t="n"/>
      <x:c r="D23" s="3" t="n"/>
    </x:row>
    <x:row r="24" s="113" customFormat="1" ht="24" customHeight="1">
      <x:c r="A24" s="6" t="inlineStr">
        <x:is>
          <x:t xml:space="preserve">資料有空列</x:t>
        </x:is>
      </x:c>
      <x:c r="B24" s="7" t="inlineStr">
        <x:is>
          <x:t xml:space="preserve">樞紐表會在空列處截斷 → 清除空列再建</x:t>
        </x:is>
      </x:c>
      <x:c r="C24" s="2" t="n"/>
      <x:c r="D24" s="3" t="n"/>
    </x:row>
    <x:row r="25" s="113" customFormat="1" ht="24" customHeight="1">
      <x:c r="A25" s="6" t="inlineStr">
        <x:is>
          <x:t xml:space="preserve">欄位名稱重複</x:t>
        </x:is>
      </x:c>
      <x:c r="B25" s="7" t="inlineStr">
        <x:is>
          <x:t xml:space="preserve">每欄必須有唯一的標題名稱</x:t>
        </x:is>
      </x:c>
      <x:c r="C25" s="2" t="n"/>
      <x:c r="D25" s="3" t="n"/>
    </x:row>
    <x:row r="26" s="113" customFormat="1" ht="24" customHeight="1">
      <x:c r="A26" s="6" t="inlineStr">
        <x:is>
          <x:t xml:space="preserve">忘記重新整理</x:t>
        </x:is>
      </x:c>
      <x:c r="B26" s="7" t="inlineStr">
        <x:is>
          <x:t xml:space="preserve">來源資料更新後要按「重新整理」按鈕</x:t>
        </x:is>
      </x:c>
      <x:c r="C26" s="2" t="n"/>
      <x:c r="D26" s="3" t="n"/>
    </x:row>
    <x:row r="27" s="113" customFormat="1" ht="24" customHeight="1">
      <x:c r="A27" s="6" t="inlineStr">
        <x:is>
          <x:t xml:space="preserve">混合資料型態</x:t>
        </x:is>
      </x:c>
      <x:c r="B27" s="7" t="inlineStr">
        <x:is>
          <x:t xml:space="preserve">同一欄不要混數字和文字，否則計算會出錯</x:t>
        </x:is>
      </x:c>
      <x:c r="C27" s="2" t="n"/>
      <x:c r="D27" s="3" t="n"/>
    </x:row>
    <x:row r="30" s="113" customFormat="1" ht="30" customHeight="1">
      <x:c r="A30" s="10" t="inlineStr">
        <x:is>
          <x:t xml:space="preserve">🎯 動手練習（做完打 ✓，難度漸進！）</x:t>
        </x:is>
      </x:c>
      <x:c r="B30" s="11" t="n"/>
      <x:c r="C30" s="11" t="n"/>
      <x:c r="D30" s="12" t="n"/>
    </x:row>
    <x:row r="31" s="113" customFormat="1" ht="15.199999809265137" customHeight="1">
      <x:c r="A31" s="13" t="inlineStr">
        <x:is>
          <x:t xml:space="preserve">#</x:t>
        </x:is>
      </x:c>
      <x:c r="B31" s="13" t="inlineStr">
        <x:is>
          <x:t xml:space="preserve">✓</x:t>
        </x:is>
      </x:c>
      <x:c r="C31" s="13" t="inlineStr">
        <x:is>
          <x:t xml:space="preserve">難度</x:t>
        </x:is>
      </x:c>
      <x:c r="D31" s="13" t="inlineStr">
        <x:is>
          <x:t xml:space="preserve">任務描述</x:t>
        </x:is>
      </x:c>
    </x:row>
    <x:row r="32" s="113" customFormat="1" ht="36" customHeight="1">
      <x:c r="A32" s="14" t="n">
        <x:v>1</x:v>
      </x:c>
      <x:c r="B32" s="15" t="inlineStr">
        <x:is>
          <x:t xml:space="preserve">□</x:t>
        </x:is>
      </x:c>
      <x:c r="C32" s="16" t="inlineStr">
        <x:is>
          <x:t xml:space="preserve">🟢 暖身</x:t>
        </x:is>
      </x:c>
      <x:c r="D32" s="17" t="inlineStr">
        <x:is>
          <x:t xml:space="preserve">在「📈 條件統計」工作表的訂單資料上，按 ⌘+T 轉為表格，再插入樞紐分析表</x:t>
        </x:is>
      </x:c>
    </x:row>
    <x:row r="33" s="113" customFormat="1" ht="36" customHeight="1">
      <x:c r="A33" s="14" t="n">
        <x:v>2</x:v>
      </x:c>
      <x:c r="B33" s="15" t="inlineStr">
        <x:is>
          <x:t xml:space="preserve">□</x:t>
        </x:is>
      </x:c>
      <x:c r="C33" s="16" t="inlineStr">
        <x:is>
          <x:t xml:space="preserve">🟢 暖身</x:t>
        </x:is>
      </x:c>
      <x:c r="D33" s="17" t="inlineStr">
        <x:is>
          <x:t xml:space="preserve">把「業務員」拖到列區域，「金額」拖到值區域 → 看到各業務員的總金額</x:t>
        </x:is>
      </x:c>
    </x:row>
    <x:row r="34" s="113" customFormat="1" ht="36" customHeight="1">
      <x:c r="A34" s="18" t="n">
        <x:v>3</x:v>
      </x:c>
      <x:c r="B34" s="19" t="inlineStr">
        <x:is>
          <x:t xml:space="preserve">□</x:t>
        </x:is>
      </x:c>
      <x:c r="C34" s="20" t="inlineStr">
        <x:is>
          <x:t xml:space="preserve">🔵 標準</x:t>
        </x:is>
      </x:c>
      <x:c r="D34" s="21" t="inlineStr">
        <x:is>
          <x:t xml:space="preserve">加上「區域」到欄區域 → 變成交叉表：每位業務員在各區域的業績</x:t>
        </x:is>
      </x:c>
    </x:row>
    <x:row r="35" s="113" customFormat="1" ht="36" customHeight="1">
      <x:c r="A35" s="18" t="n">
        <x:v>4</x:v>
      </x:c>
      <x:c r="B35" s="19" t="inlineStr">
        <x:is>
          <x:t xml:space="preserve">□</x:t>
        </x:is>
      </x:c>
      <x:c r="C35" s="20" t="inlineStr">
        <x:is>
          <x:t xml:space="preserve">🔵 標準</x:t>
        </x:is>
      </x:c>
      <x:c r="D35" s="21" t="inlineStr">
        <x:is>
          <x:t xml:space="preserve">在值欄位設定中，把「加總」改成「計數」→ 看出每人的訂單筆數</x:t>
        </x:is>
      </x:c>
    </x:row>
    <x:row r="36" s="113" customFormat="1" ht="36" customHeight="1">
      <x:c r="A36" s="22" t="n">
        <x:v>5</x:v>
      </x:c>
      <x:c r="B36" s="23" t="inlineStr">
        <x:is>
          <x:t xml:space="preserve">□</x:t>
        </x:is>
      </x:c>
      <x:c r="C36" s="24" t="inlineStr">
        <x:is>
          <x:t xml:space="preserve">🟡 變化</x:t>
        </x:is>
      </x:c>
      <x:c r="D36" s="25" t="inlineStr">
        <x:is>
          <x:t xml:space="preserve">對日期欄位右鍵 → 群組 → 依月份群組 → 看到月度彙總</x:t>
        </x:is>
      </x:c>
    </x:row>
    <x:row r="37" s="113" customFormat="1" ht="36" customHeight="1">
      <x:c r="A37" s="22" t="n">
        <x:v>6</x:v>
      </x:c>
      <x:c r="B37" s="23" t="inlineStr">
        <x:is>
          <x:t xml:space="preserve">□</x:t>
        </x:is>
      </x:c>
      <x:c r="C37" s="24" t="inlineStr">
        <x:is>
          <x:t xml:space="preserve">🟡 變化</x:t>
        </x:is>
      </x:c>
      <x:c r="D37" s="25" t="inlineStr">
        <x:is>
          <x:t xml:space="preserve">新增計算欄位：平均單價 = 金額 / 計數。觀察哪位業務員的單價最高</x:t>
        </x:is>
      </x:c>
    </x:row>
    <x:row r="38" s="113" customFormat="1" ht="36" customHeight="1">
      <x:c r="A38" s="26" t="n">
        <x:v>7</x:v>
      </x:c>
      <x:c r="B38" s="27" t="inlineStr">
        <x:is>
          <x:t xml:space="preserve">□</x:t>
        </x:is>
      </x:c>
      <x:c r="C38" s="28" t="inlineStr">
        <x:is>
          <x:t xml:space="preserve">🔴 挑戰</x:t>
        </x:is>
      </x:c>
      <x:c r="D38" s="29" t="inlineStr">
        <x:is>
          <x:t xml:space="preserve">插入交叉分析篩選器，用「付款狀態」篩選 → 對比已付/未付的業績分佈</x:t>
        </x:is>
      </x:c>
    </x:row>
    <x:row r="39" s="113" customFormat="1" ht="36" customHeight="1">
      <x:c r="A39" s="26" t="n">
        <x:v>8</x:v>
      </x:c>
      <x:c r="B39" s="27" t="inlineStr">
        <x:is>
          <x:t xml:space="preserve">□</x:t>
        </x:is>
      </x:c>
      <x:c r="C39" s="28" t="inlineStr">
        <x:is>
          <x:t xml:space="preserve">🔴 挑戰</x:t>
        </x:is>
      </x:c>
      <x:c r="D39" s="29" t="inlineStr">
        <x:is>
          <x:t xml:space="preserve">建立第二個樞紐表：產品類別 × 區域的金額矩陣，並讓兩個樞紐共用同一個篩選器</x:t>
        </x:is>
      </x:c>
    </x:row>
  </x:sheetData>
  <x:mergeCells>
    <x:mergeCell ref="A1:D1"/>
    <x:mergeCell ref="A23:D23"/>
    <x:mergeCell ref="B5:D5"/>
    <x:mergeCell ref="A4:D4"/>
    <x:mergeCell ref="B8:D8"/>
    <x:mergeCell ref="A30:D30"/>
    <x:mergeCell ref="B26:D26"/>
    <x:mergeCell ref="B27:D27"/>
    <x:mergeCell ref="A2:D2"/>
    <x:mergeCell ref="A16:D16"/>
    <x:mergeCell ref="A10:D10"/>
    <x:mergeCell ref="B25:D25"/>
    <x:mergeCell ref="B6:D6"/>
    <x:mergeCell ref="B7:D7"/>
    <x:mergeCell ref="B24:D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0" t="inlineStr">
        <x:is>
          <x:t xml:space="preserve">🎨 條件式格式化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難度：🔵 Lv.2  |  讓數字自己說故事  |  報表視覺化必備</x:t>
        </x:is>
      </x:c>
    </x:row>
    <x:row r="4" s="113" customFormat="1" ht="21.75" customHeight="1">
      <x:c r="A4" s="5" t="inlineStr">
        <x:is>
          <x:t xml:space="preserve">📌 基本操作路徑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醒目提示規則</x:t>
        </x:is>
      </x:c>
      <x:c r="B5" s="7" t="inlineStr">
        <x:is>
          <x:t xml:space="preserve">常用 → 條件式格式化 → 醒目提示儲存格規則</x:t>
        </x:is>
      </x:c>
      <x:c r="C5" s="7" t="inlineStr">
        <x:is>
          <x:t xml:space="preserve">大於/小於/等於/介於/包含文字</x:t>
        </x:is>
      </x:c>
      <x:c r="D5" s="8" t="inlineStr">
        <x:is>
          <x:t xml:space="preserve">最快上手的功能</x:t>
        </x:is>
      </x:c>
    </x:row>
    <x:row r="6" s="113" customFormat="1" ht="24" customHeight="1">
      <x:c r="A6" s="6" t="inlineStr">
        <x:is>
          <x:t xml:space="preserve">頂端/底端規則</x:t>
        </x:is>
      </x:c>
      <x:c r="B6" s="7" t="inlineStr">
        <x:is>
          <x:t xml:space="preserve">常用 → 條件式格式化 → 頂端/底端規則</x:t>
        </x:is>
      </x:c>
      <x:c r="C6" s="7" t="inlineStr">
        <x:is>
          <x:t xml:space="preserve">前 10 名、後 10%、高於平均</x:t>
        </x:is>
      </x:c>
      <x:c r="D6" s="8" t="inlineStr">
        <x:is>
          <x:t xml:space="preserve">快速找出前段班/後段班</x:t>
        </x:is>
      </x:c>
    </x:row>
    <x:row r="7" s="113" customFormat="1" ht="24" customHeight="1">
      <x:c r="A7" s="6" t="inlineStr">
        <x:is>
          <x:t xml:space="preserve">資料橫條</x:t>
        </x:is>
      </x:c>
      <x:c r="B7" s="7" t="inlineStr">
        <x:is>
          <x:t xml:space="preserve">常用 → 條件式格式化 → 資料橫條</x:t>
        </x:is>
      </x:c>
      <x:c r="C7" s="7" t="inlineStr">
        <x:is>
          <x:t xml:space="preserve">在儲存格內顯示橫條圖</x:t>
        </x:is>
      </x:c>
      <x:c r="D7" s="8" t="inlineStr">
        <x:is>
          <x:t xml:space="preserve">一眼看出大小差異</x:t>
        </x:is>
      </x:c>
    </x:row>
    <x:row r="8" s="113" customFormat="1" ht="24" customHeight="1">
      <x:c r="A8" s="6" t="inlineStr">
        <x:is>
          <x:t xml:space="preserve">色階</x:t>
        </x:is>
      </x:c>
      <x:c r="B8" s="7" t="inlineStr">
        <x:is>
          <x:t xml:space="preserve">常用 → 條件式格式化 → 色階</x:t>
        </x:is>
      </x:c>
      <x:c r="C8" s="7" t="inlineStr">
        <x:is>
          <x:t xml:space="preserve">用漸層色彩表示高低</x:t>
        </x:is>
      </x:c>
      <x:c r="D8" s="8" t="inlineStr">
        <x:is>
          <x:t xml:space="preserve">熱力圖效果，適合矩陣型資料</x:t>
        </x:is>
      </x:c>
    </x:row>
    <x:row r="9" s="113" customFormat="1" ht="24" customHeight="1">
      <x:c r="A9" s="6" t="inlineStr">
        <x:is>
          <x:t xml:space="preserve">圖示集</x:t>
        </x:is>
      </x:c>
      <x:c r="B9" s="7" t="inlineStr">
        <x:is>
          <x:t xml:space="preserve">常用 → 條件式格式化 → 圖示集</x:t>
        </x:is>
      </x:c>
      <x:c r="C9" s="7" t="inlineStr">
        <x:is>
          <x:t xml:space="preserve">用箭頭/星星/旗幟表示狀態</x:t>
        </x:is>
      </x:c>
      <x:c r="D9" s="8" t="inlineStr">
        <x:is>
          <x:t xml:space="preserve">紅黃綠燈號最常用</x:t>
        </x:is>
      </x:c>
    </x:row>
    <x:row r="11" s="113" customFormat="1" ht="21.75" customHeight="1">
      <x:c r="A11" s="5" t="inlineStr">
        <x:is>
          <x:t xml:space="preserve">🔧 自訂公式規則（進階）</x:t>
        </x:is>
      </x:c>
      <x:c r="B11" s="2" t="n"/>
      <x:c r="C11" s="2" t="n"/>
      <x:c r="D11" s="3" t="n"/>
    </x:row>
    <x:row r="12" s="113" customFormat="1" ht="24" customHeight="1">
      <x:c r="A12" s="6" t="inlineStr">
        <x:is>
          <x:t xml:space="preserve">整列標色</x:t>
        </x:is>
      </x:c>
      <x:c r="B12" s="7" t="inlineStr">
        <x:is>
          <x:t xml:space="preserve">公式：=$E2&gt;50000（注意 $ 鎖欄不鎖列）</x:t>
        </x:is>
      </x:c>
      <x:c r="C12" s="7" t="inlineStr">
        <x:is>
          <x:t xml:space="preserve">套用到 $A$2:$H$100</x:t>
        </x:is>
      </x:c>
      <x:c r="D12" s="33" t="inlineStr">
        <x:is>
          <x:t xml:space="preserve">$ 放在欄前面 = 鎖住參考欄</x:t>
        </x:is>
      </x:c>
    </x:row>
    <x:row r="13" s="113" customFormat="1" ht="24" customHeight="1">
      <x:c r="A13" s="6" t="inlineStr">
        <x:is>
          <x:t xml:space="preserve">隔列變色</x:t>
        </x:is>
      </x:c>
      <x:c r="B13" s="7" t="inlineStr">
        <x:is>
          <x:t xml:space="preserve">公式：=MOD(ROW(),2)=0</x:t>
        </x:is>
      </x:c>
      <x:c r="C13" s="7" t="inlineStr">
        <x:is>
          <x:t xml:space="preserve">偶數列自動上色</x:t>
        </x:is>
      </x:c>
      <x:c r="D13" s="8" t="inlineStr">
        <x:is>
          <x:t xml:space="preserve">最簡單的斑馬紋效果</x:t>
        </x:is>
      </x:c>
    </x:row>
    <x:row r="14" s="113" customFormat="1" ht="24" customHeight="1">
      <x:c r="A14" s="6" t="inlineStr">
        <x:is>
          <x:t xml:space="preserve">標記重複</x:t>
        </x:is>
      </x:c>
      <x:c r="B14" s="7" t="inlineStr">
        <x:is>
          <x:t xml:space="preserve">公式：=COUNTIF($A:$A,$A2)&gt;1</x:t>
        </x:is>
      </x:c>
      <x:c r="C14" s="7" t="inlineStr">
        <x:is>
          <x:t xml:space="preserve">重複值自動標紅</x:t>
        </x:is>
      </x:c>
      <x:c r="D14" s="8" t="inlineStr">
        <x:is>
          <x:t xml:space="preserve">資料清洗必用</x:t>
        </x:is>
      </x:c>
    </x:row>
    <x:row r="15" s="113" customFormat="1" ht="24" customHeight="1">
      <x:c r="A15" s="6" t="inlineStr">
        <x:is>
          <x:t xml:space="preserve">到期提醒</x:t>
        </x:is>
      </x:c>
      <x:c r="B15" s="7" t="inlineStr">
        <x:is>
          <x:t xml:space="preserve">公式：=($D2-TODAY())&lt;7</x:t>
        </x:is>
      </x:c>
      <x:c r="C15" s="31" t="inlineStr">
        <x:is>
          <x:t xml:space="preserve">7 天內到期的標紅</x:t>
        </x:is>
      </x:c>
      <x:c r="D15" s="8" t="inlineStr">
        <x:is>
          <x:t xml:space="preserve">專案管理常用</x:t>
        </x:is>
      </x:c>
    </x:row>
    <x:row r="16" s="113" customFormat="1" ht="24" customHeight="1">
      <x:c r="A16" s="6" t="inlineStr">
        <x:is>
          <x:t xml:space="preserve">空白警告</x:t>
        </x:is>
      </x:c>
      <x:c r="B16" s="7" t="inlineStr">
        <x:is>
          <x:t xml:space="preserve">公式：=ISBLANK($C2)</x:t>
        </x:is>
      </x:c>
      <x:c r="C16" s="7" t="inlineStr">
        <x:is>
          <x:t xml:space="preserve">必填欄位為空時標黃</x:t>
        </x:is>
      </x:c>
      <x:c r="D16" s="8" t="inlineStr">
        <x:is>
          <x:t xml:space="preserve">表單驗證視覺化</x:t>
        </x:is>
      </x:c>
    </x:row>
    <x:row r="18" s="113" customFormat="1" ht="21.75" customHeight="1">
      <x:c r="A18" s="5" t="inlineStr">
        <x:is>
          <x:t xml:space="preserve">💡 專業技巧</x:t>
        </x:is>
      </x:c>
      <x:c r="B18" s="2" t="n"/>
      <x:c r="C18" s="2" t="n"/>
      <x:c r="D18" s="3" t="n"/>
    </x:row>
    <x:row r="19" s="113" customFormat="1" ht="24" customHeight="1">
      <x:c r="A19" s="6" t="inlineStr">
        <x:is>
          <x:t xml:space="preserve">規則優先順序</x:t>
        </x:is>
      </x:c>
      <x:c r="B19" s="7" t="inlineStr">
        <x:is>
          <x:t xml:space="preserve">常用 → 條件式格式化 → 管理規則 → 調整順序</x:t>
        </x:is>
      </x:c>
      <x:c r="C19" s="3" t="n"/>
      <x:c r="D19" s="8" t="inlineStr">
        <x:is>
          <x:t xml:space="preserve">上面的規則優先</x:t>
        </x:is>
      </x:c>
    </x:row>
    <x:row r="20" s="113" customFormat="1" ht="24" customHeight="1">
      <x:c r="A20" s="6" t="inlineStr">
        <x:is>
          <x:t xml:space="preserve">停止為 True</x:t>
        </x:is>
      </x:c>
      <x:c r="B20" s="7" t="inlineStr">
        <x:is>
          <x:t xml:space="preserve">勾選「如果為 True 則停止」</x:t>
        </x:is>
      </x:c>
      <x:c r="C20" s="3" t="n"/>
      <x:c r="D20" s="8" t="inlineStr">
        <x:is>
          <x:t xml:space="preserve">避免多條規則互相衝突</x:t>
        </x:is>
      </x:c>
    </x:row>
    <x:row r="21" s="113" customFormat="1" ht="24" customHeight="1">
      <x:c r="A21" s="6" t="inlineStr">
        <x:is>
          <x:t xml:space="preserve">複製格式</x:t>
        </x:is>
      </x:c>
      <x:c r="B21" s="7" t="inlineStr">
        <x:is>
          <x:t xml:space="preserve">格式刷（或 ⌘+C → 選擇性貼上 → 格式）</x:t>
        </x:is>
      </x:c>
      <x:c r="C21" s="3" t="n"/>
      <x:c r="D21" s="8" t="inlineStr">
        <x:is>
          <x:t xml:space="preserve">把條件格式套到其他範圍</x:t>
        </x:is>
      </x:c>
    </x:row>
    <x:row r="24" s="113" customFormat="1" ht="30" customHeight="1">
      <x:c r="A24" s="10" t="inlineStr">
        <x:is>
          <x:t xml:space="preserve">🎯 動手練習（做完打 ✓，難度漸進！）</x:t>
        </x:is>
      </x:c>
      <x:c r="B24" s="11" t="n"/>
      <x:c r="C24" s="11" t="n"/>
      <x:c r="D24" s="12" t="n"/>
    </x:row>
    <x:row r="25" s="113" customFormat="1" ht="15.199999809265137" customHeight="1">
      <x:c r="A25" s="13" t="inlineStr">
        <x:is>
          <x:t xml:space="preserve">#</x:t>
        </x:is>
      </x:c>
      <x:c r="B25" s="13" t="inlineStr">
        <x:is>
          <x:t xml:space="preserve">✓</x:t>
        </x:is>
      </x:c>
      <x:c r="C25" s="13" t="inlineStr">
        <x:is>
          <x:t xml:space="preserve">難度</x:t>
        </x:is>
      </x:c>
      <x:c r="D25" s="13" t="inlineStr">
        <x:is>
          <x:t xml:space="preserve">任務描述</x:t>
        </x:is>
      </x:c>
    </x:row>
    <x:row r="26" s="113" customFormat="1" ht="36" customHeight="1">
      <x:c r="A26" s="14" t="n">
        <x:v>1</x:v>
      </x:c>
      <x:c r="B26" s="15" t="inlineStr">
        <x:is>
          <x:t xml:space="preserve">□</x:t>
        </x:is>
      </x:c>
      <x:c r="C26" s="16" t="inlineStr">
        <x:is>
          <x:t xml:space="preserve">🟢 暖身</x:t>
        </x:is>
      </x:c>
      <x:c r="D26" s="17" t="inlineStr">
        <x:is>
          <x:t xml:space="preserve">在「📊 基礎函式」的業績資料上，選取整個月份欄 → 條件式格式化 → 資料橫條</x:t>
        </x:is>
      </x:c>
    </x:row>
    <x:row r="27" s="113" customFormat="1" ht="36" customHeight="1">
      <x:c r="A27" s="14" t="n">
        <x:v>2</x:v>
      </x:c>
      <x:c r="B27" s="15" t="inlineStr">
        <x:is>
          <x:t xml:space="preserve">□</x:t>
        </x:is>
      </x:c>
      <x:c r="C27" s="16" t="inlineStr">
        <x:is>
          <x:t xml:space="preserve">🟢 暖身</x:t>
        </x:is>
      </x:c>
      <x:c r="D27" s="17" t="inlineStr">
        <x:is>
          <x:t xml:space="preserve">選取同一欄 → 條件式格式化 → 色階 → 觀察紅綠漸層代表高低</x:t>
        </x:is>
      </x:c>
    </x:row>
    <x:row r="28" s="113" customFormat="1" ht="36" customHeight="1">
      <x:c r="A28" s="18" t="n">
        <x:v>3</x:v>
      </x:c>
      <x:c r="B28" s="19" t="inlineStr">
        <x:is>
          <x:t xml:space="preserve">□</x:t>
        </x:is>
      </x:c>
      <x:c r="C28" s="20" t="inlineStr">
        <x:is>
          <x:t xml:space="preserve">🔵 標準</x:t>
        </x:is>
      </x:c>
      <x:c r="D28" s="21" t="inlineStr">
        <x:is>
          <x:t xml:space="preserve">設定醒目提示：業績 &gt; 60000 標為綠色底，&lt; 40000 標為紅色底</x:t>
        </x:is>
      </x:c>
    </x:row>
    <x:row r="29" s="113" customFormat="1" ht="36" customHeight="1">
      <x:c r="A29" s="18" t="n">
        <x:v>4</x:v>
      </x:c>
      <x:c r="B29" s="19" t="inlineStr">
        <x:is>
          <x:t xml:space="preserve">□</x:t>
        </x:is>
      </x:c>
      <x:c r="C29" s="20" t="inlineStr">
        <x:is>
          <x:t xml:space="preserve">🔵 標準</x:t>
        </x:is>
      </x:c>
      <x:c r="D29" s="21" t="inlineStr">
        <x:is>
          <x:t xml:space="preserve">使用「頂端/底端規則」→ 標記前 3 名業績為粗體金色</x:t>
        </x:is>
      </x:c>
    </x:row>
    <x:row r="30" s="113" customFormat="1" ht="36" customHeight="1">
      <x:c r="A30" s="22" t="n">
        <x:v>5</x:v>
      </x:c>
      <x:c r="B30" s="23" t="inlineStr">
        <x:is>
          <x:t xml:space="preserve">□</x:t>
        </x:is>
      </x:c>
      <x:c r="C30" s="24" t="inlineStr">
        <x:is>
          <x:t xml:space="preserve">🟡 變化</x:t>
        </x:is>
      </x:c>
      <x:c r="D30" s="25" t="inlineStr">
        <x:is>
          <x:t xml:space="preserve">自訂公式規則：=MOD(ROW(),2)=0 → 隔列加底色（斑馬紋效果）</x:t>
        </x:is>
      </x:c>
    </x:row>
    <x:row r="31" s="113" customFormat="1" ht="36" customHeight="1">
      <x:c r="A31" s="22" t="n">
        <x:v>6</x:v>
      </x:c>
      <x:c r="B31" s="23" t="inlineStr">
        <x:is>
          <x:t xml:space="preserve">□</x:t>
        </x:is>
      </x:c>
      <x:c r="C31" s="24" t="inlineStr">
        <x:is>
          <x:t xml:space="preserve">🟡 變化</x:t>
        </x:is>
      </x:c>
      <x:c r="D31" s="25" t="inlineStr">
        <x:is>
          <x:t xml:space="preserve">自訂公式規則：=$E2&gt;50000 → 整列（不是單格）標色。注意 $ 的位置！</x:t>
        </x:is>
      </x:c>
    </x:row>
    <x:row r="32" s="113" customFormat="1" ht="36" customHeight="1">
      <x:c r="A32" s="26" t="n">
        <x:v>7</x:v>
      </x:c>
      <x:c r="B32" s="27" t="inlineStr">
        <x:is>
          <x:t xml:space="preserve">□</x:t>
        </x:is>
      </x:c>
      <x:c r="C32" s="28" t="inlineStr">
        <x:is>
          <x:t xml:space="preserve">🔴 挑戰</x:t>
        </x:is>
      </x:c>
      <x:c r="D32" s="29" t="inlineStr">
        <x:is>
          <x:t xml:space="preserve">用圖示集（紅黃綠燈號）標記績效分數：≥90 綠燈、≥60 黃燈、其他紅燈</x:t>
        </x:is>
      </x:c>
    </x:row>
    <x:row r="33" s="113" customFormat="1" ht="36" customHeight="1">
      <x:c r="A33" s="26" t="n">
        <x:v>8</x:v>
      </x:c>
      <x:c r="B33" s="27" t="inlineStr">
        <x:is>
          <x:t xml:space="preserve">□</x:t>
        </x:is>
      </x:c>
      <x:c r="C33" s="28" t="inlineStr">
        <x:is>
          <x:t xml:space="preserve">🔴 挑戰</x:t>
        </x:is>
      </x:c>
      <x:c r="D33" s="29" t="inlineStr">
        <x:is>
          <x:t xml:space="preserve">自訂公式：=COUNTIF($A:$A,$A2)&gt;1 → 標記重複的姓名。再試試用在訂單資料找重複</x:t>
        </x:is>
      </x:c>
    </x:row>
  </x:sheetData>
  <x:mergeCells>
    <x:mergeCell ref="A1:D1"/>
    <x:mergeCell ref="B21:C21"/>
    <x:mergeCell ref="A18:D18"/>
    <x:mergeCell ref="B19:C19"/>
    <x:mergeCell ref="A4:D4"/>
    <x:mergeCell ref="B20:C20"/>
    <x:mergeCell ref="A24:D24"/>
    <x:mergeCell ref="A2:D2"/>
    <x:mergeCell ref="A11:D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0" t="inlineStr">
        <x:is>
          <x:t xml:space="preserve">✅ 資料驗證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難度：🔵 Lv.2  |  防止錯誤輸入，保護資料品質</x:t>
        </x:is>
      </x:c>
    </x:row>
    <x:row r="4" s="113" customFormat="1" ht="21.75" customHeight="1">
      <x:c r="A4" s="5" t="inlineStr">
        <x:is>
          <x:t xml:space="preserve">📌 操作路徑：資料 → 資料驗證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下拉選單</x:t>
        </x:is>
      </x:c>
      <x:c r="B5" s="7" t="inlineStr">
        <x:is>
          <x:t xml:space="preserve">清單 → 輸入：業務,財務,資訊,人事</x:t>
        </x:is>
      </x:c>
      <x:c r="C5" s="7" t="inlineStr">
        <x:is>
          <x:t xml:space="preserve">最常用！限制只能選這些值</x:t>
        </x:is>
      </x:c>
      <x:c r="D5" s="8" t="inlineStr">
        <x:is>
          <x:t xml:space="preserve">用 INDIRECT 可以做連動下拉</x:t>
        </x:is>
      </x:c>
    </x:row>
    <x:row r="6" s="113" customFormat="1" ht="24" customHeight="1">
      <x:c r="A6" s="6" t="inlineStr">
        <x:is>
          <x:t xml:space="preserve">整數限制</x:t>
        </x:is>
      </x:c>
      <x:c r="B6" s="7" t="inlineStr">
        <x:is>
          <x:t xml:space="preserve">整數 → 介於 → 1 到 100</x:t>
        </x:is>
      </x:c>
      <x:c r="C6" s="7" t="inlineStr">
        <x:is>
          <x:t xml:space="preserve">限制只能輸入 1~100 的整數</x:t>
        </x:is>
      </x:c>
      <x:c r="D6" s="8" t="inlineStr">
        <x:is>
          <x:t xml:space="preserve">適合分數、百分比欄位</x:t>
        </x:is>
      </x:c>
    </x:row>
    <x:row r="7" s="113" customFormat="1" ht="24" customHeight="1">
      <x:c r="A7" s="6" t="inlineStr">
        <x:is>
          <x:t xml:space="preserve">日期限制</x:t>
        </x:is>
      </x:c>
      <x:c r="B7" s="7" t="inlineStr">
        <x:is>
          <x:t xml:space="preserve">日期 → 大於 → =TODAY()</x:t>
        </x:is>
      </x:c>
      <x:c r="C7" s="7" t="inlineStr">
        <x:is>
          <x:t xml:space="preserve">只允許輸入未來的日期</x:t>
        </x:is>
      </x:c>
      <x:c r="D7" s="8" t="inlineStr">
        <x:is>
          <x:t xml:space="preserve">適合到期日、預約日欄位</x:t>
        </x:is>
      </x:c>
    </x:row>
    <x:row r="8" s="113" customFormat="1" ht="24" customHeight="1">
      <x:c r="A8" s="6" t="inlineStr">
        <x:is>
          <x:t xml:space="preserve">文字長度</x:t>
        </x:is>
      </x:c>
      <x:c r="B8" s="7" t="inlineStr">
        <x:is>
          <x:t xml:space="preserve">文字長度 → 等於 → 10</x:t>
        </x:is>
      </x:c>
      <x:c r="C8" s="7" t="inlineStr">
        <x:is>
          <x:t xml:space="preserve">限制只能輸入 10 個字元</x:t>
        </x:is>
      </x:c>
      <x:c r="D8" s="8" t="inlineStr">
        <x:is>
          <x:t xml:space="preserve">適合身分證號、電話號碼</x:t>
        </x:is>
      </x:c>
    </x:row>
    <x:row r="9" s="113" customFormat="1" ht="24" customHeight="1">
      <x:c r="A9" s="6" t="inlineStr">
        <x:is>
          <x:t xml:space="preserve">自訂公式</x:t>
        </x:is>
      </x:c>
      <x:c r="B9" s="7" t="inlineStr">
        <x:is>
          <x:t xml:space="preserve">自訂 → =AND(LEN(A2)=10, LEFT(A2,1)="A")</x:t>
        </x:is>
      </x:c>
      <x:c r="C9" s="7" t="inlineStr">
        <x:is>
          <x:t xml:space="preserve">自訂任意驗證條件</x:t>
        </x:is>
      </x:c>
      <x:c r="D9" s="8" t="inlineStr">
        <x:is>
          <x:t xml:space="preserve">最靈活但需要公式基礎</x:t>
        </x:is>
      </x:c>
    </x:row>
    <x:row r="11" s="113" customFormat="1" ht="21.75" customHeight="1">
      <x:c r="A11" s="5" t="inlineStr">
        <x:is>
          <x:t xml:space="preserve">🔗 連動下拉選單（進階必學）</x:t>
        </x:is>
      </x:c>
      <x:c r="B11" s="2" t="n"/>
      <x:c r="C11" s="2" t="n"/>
      <x:c r="D11" s="3" t="n"/>
    </x:row>
    <x:row r="12" s="113" customFormat="1" ht="24" customHeight="1">
      <x:c r="A12" s="9" t="inlineStr">
        <x:is>
          <x:t xml:space="preserve">Step 1</x:t>
        </x:is>
      </x:c>
      <x:c r="B12" s="7" t="inlineStr">
        <x:is>
          <x:t xml:space="preserve">建立命名範圍：每個主分類對應一組子選項</x:t>
        </x:is>
      </x:c>
      <x:c r="C12" s="2" t="n"/>
      <x:c r="D12" s="3" t="n"/>
    </x:row>
    <x:row r="13" s="113" customFormat="1" ht="24" customHeight="1">
      <x:c r="A13" s="9" t="inlineStr">
        <x:is>
          <x:t xml:space="preserve">Step 2</x:t>
        </x:is>
      </x:c>
      <x:c r="B13" s="7" t="inlineStr">
        <x:is>
          <x:t xml:space="preserve">主下拉：資料驗證 → 清單 → 業務,財務,資訊</x:t>
        </x:is>
      </x:c>
      <x:c r="C13" s="2" t="n"/>
      <x:c r="D13" s="3" t="n"/>
    </x:row>
    <x:row r="14" s="113" customFormat="1" ht="24" customHeight="1">
      <x:c r="A14" s="9" t="inlineStr">
        <x:is>
          <x:t xml:space="preserve">Step 3</x:t>
        </x:is>
      </x:c>
      <x:c r="B14" s="7" t="inlineStr">
        <x:is>
          <x:t xml:space="preserve">子下拉：資料驗證 → 清單 → =INDIRECT(A2)</x:t>
        </x:is>
      </x:c>
      <x:c r="C14" s="2" t="n"/>
      <x:c r="D14" s="3" t="n"/>
    </x:row>
    <x:row r="15" s="113" customFormat="1" ht="24" customHeight="1">
      <x:c r="A15" s="6" t="inlineStr">
        <x:is>
          <x:t xml:space="preserve">原理</x:t>
        </x:is>
      </x:c>
      <x:c r="B15" s="31" t="inlineStr">
        <x:is>
          <x:t xml:space="preserve">INDIRECT 把 A2 的文字轉成命名範圍的參照</x:t>
        </x:is>
      </x:c>
      <x:c r="C15" s="2" t="n"/>
      <x:c r="D15" s="3" t="n"/>
    </x:row>
    <x:row r="17" s="113" customFormat="1" ht="21.75" customHeight="1">
      <x:c r="A17" s="5" t="inlineStr">
        <x:is>
          <x:t xml:space="preserve">⚠️ 輸入訊息 &amp; 錯誤提醒</x:t>
        </x:is>
      </x:c>
      <x:c r="B17" s="2" t="n"/>
      <x:c r="C17" s="2" t="n"/>
      <x:c r="D17" s="3" t="n"/>
    </x:row>
    <x:row r="18" s="113" customFormat="1" ht="24" customHeight="1">
      <x:c r="A18" s="6" t="inlineStr">
        <x:is>
          <x:t xml:space="preserve">輸入訊息</x:t>
        </x:is>
      </x:c>
      <x:c r="B18" s="7" t="inlineStr">
        <x:is>
          <x:t xml:space="preserve">資料驗證 → 輸入訊息 tab → 填寫提示文字</x:t>
        </x:is>
      </x:c>
      <x:c r="C18" s="3" t="n"/>
      <x:c r="D18" s="8" t="inlineStr">
        <x:is>
          <x:t xml:space="preserve">滑鼠移到儲存格時顯示提示</x:t>
        </x:is>
      </x:c>
    </x:row>
    <x:row r="19" s="113" customFormat="1" ht="24" customHeight="1">
      <x:c r="A19" s="6" t="inlineStr">
        <x:is>
          <x:t xml:space="preserve">錯誤提醒</x:t>
        </x:is>
      </x:c>
      <x:c r="B19" s="7" t="inlineStr">
        <x:is>
          <x:t xml:space="preserve">資料驗證 → 錯誤提醒 tab → 選擇停止/警告/資訊</x:t>
        </x:is>
      </x:c>
      <x:c r="C19" s="3" t="n"/>
      <x:c r="D19" s="8" t="inlineStr">
        <x:is>
          <x:t xml:space="preserve">停止=不允許，警告=提醒但可繼續</x:t>
        </x:is>
      </x:c>
    </x:row>
    <x:row r="20" s="113" customFormat="1" ht="24" customHeight="1">
      <x:c r="A20" s="6" t="inlineStr">
        <x:is>
          <x:t xml:space="preserve">圈選無效資料</x:t>
        </x:is>
      </x:c>
      <x:c r="B20" s="7" t="inlineStr">
        <x:is>
          <x:t xml:space="preserve">資料 → 資料驗證 → 圈選無效資料</x:t>
        </x:is>
      </x:c>
      <x:c r="C20" s="3" t="n"/>
      <x:c r="D20" s="8" t="inlineStr">
        <x:is>
          <x:t xml:space="preserve">自動標出不符合規則的現有資料</x:t>
        </x:is>
      </x:c>
    </x:row>
    <x:row r="23" s="113" customFormat="1" ht="30" customHeight="1">
      <x:c r="A23" s="10" t="inlineStr">
        <x:is>
          <x:t xml:space="preserve">🎯 動手練習（做完打 ✓，難度漸進！）</x:t>
        </x:is>
      </x:c>
      <x:c r="B23" s="11" t="n"/>
      <x:c r="C23" s="11" t="n"/>
      <x:c r="D23" s="12" t="n"/>
    </x:row>
    <x:row r="24" s="113" customFormat="1" ht="15.199999809265137" customHeight="1">
      <x:c r="A24" s="13" t="inlineStr">
        <x:is>
          <x:t xml:space="preserve">#</x:t>
        </x:is>
      </x:c>
      <x:c r="B24" s="13" t="inlineStr">
        <x:is>
          <x:t xml:space="preserve">✓</x:t>
        </x:is>
      </x:c>
      <x:c r="C24" s="13" t="inlineStr">
        <x:is>
          <x:t xml:space="preserve">難度</x:t>
        </x:is>
      </x:c>
      <x:c r="D24" s="13" t="inlineStr">
        <x:is>
          <x:t xml:space="preserve">任務描述</x:t>
        </x:is>
      </x:c>
    </x:row>
    <x:row r="25" s="113" customFormat="1" ht="36" customHeight="1">
      <x:c r="A25" s="14" t="n">
        <x:v>1</x:v>
      </x:c>
      <x:c r="B25" s="15" t="inlineStr">
        <x:is>
          <x:t xml:space="preserve">□</x:t>
        </x:is>
      </x:c>
      <x:c r="C25" s="16" t="inlineStr">
        <x:is>
          <x:t xml:space="preserve">🟢 暖身</x:t>
        </x:is>
      </x:c>
      <x:c r="D25" s="17" t="inlineStr">
        <x:is>
          <x:t xml:space="preserve">在空白儲存格建立下拉選單：業務, 財務, 資訊, 人事（逗號分隔直接輸入）</x:t>
        </x:is>
      </x:c>
    </x:row>
    <x:row r="26" s="113" customFormat="1" ht="36" customHeight="1">
      <x:c r="A26" s="14" t="n">
        <x:v>2</x:v>
      </x:c>
      <x:c r="B26" s="15" t="inlineStr">
        <x:is>
          <x:t xml:space="preserve">□</x:t>
        </x:is>
      </x:c>
      <x:c r="C26" s="16" t="inlineStr">
        <x:is>
          <x:t xml:space="preserve">🟢 暖身</x:t>
        </x:is>
      </x:c>
      <x:c r="D26" s="17" t="inlineStr">
        <x:is>
          <x:t xml:space="preserve">建立整數驗證：限制只能輸入 1~100 的分數，並設定錯誤提醒訊息</x:t>
        </x:is>
      </x:c>
    </x:row>
    <x:row r="27" s="113" customFormat="1" ht="36" customHeight="1">
      <x:c r="A27" s="18" t="n">
        <x:v>3</x:v>
      </x:c>
      <x:c r="B27" s="19" t="inlineStr">
        <x:is>
          <x:t xml:space="preserve">□</x:t>
        </x:is>
      </x:c>
      <x:c r="C27" s="20" t="inlineStr">
        <x:is>
          <x:t xml:space="preserve">🔵 標準</x:t>
        </x:is>
      </x:c>
      <x:c r="D27" s="21" t="inlineStr">
        <x:is>
          <x:t xml:space="preserve">建立日期驗證：限制只能輸入今天以後的日期（公式：=TODAY()）</x:t>
        </x:is>
      </x:c>
    </x:row>
    <x:row r="28" s="113" customFormat="1" ht="36" customHeight="1">
      <x:c r="A28" s="18" t="n">
        <x:v>4</x:v>
      </x:c>
      <x:c r="B28" s="19" t="inlineStr">
        <x:is>
          <x:t xml:space="preserve">□</x:t>
        </x:is>
      </x:c>
      <x:c r="C28" s="20" t="inlineStr">
        <x:is>
          <x:t xml:space="preserve">🔵 標準</x:t>
        </x:is>
      </x:c>
      <x:c r="D28" s="21" t="inlineStr">
        <x:is>
          <x:t xml:space="preserve">在另一個儲存格建立「文字長度 = 10」的驗證 → 模擬手機號碼限制</x:t>
        </x:is>
      </x:c>
    </x:row>
    <x:row r="29" s="113" customFormat="1" ht="36" customHeight="1">
      <x:c r="A29" s="22" t="n">
        <x:v>5</x:v>
      </x:c>
      <x:c r="B29" s="23" t="inlineStr">
        <x:is>
          <x:t xml:space="preserve">□</x:t>
        </x:is>
      </x:c>
      <x:c r="C29" s="24" t="inlineStr">
        <x:is>
          <x:t xml:space="preserve">🟡 變化</x:t>
        </x:is>
      </x:c>
      <x:c r="D29" s="25" t="inlineStr">
        <x:is>
          <x:t xml:space="preserve">用命名範圍做下拉選單：先把部門清單命名為「部門列表」→ 驗證來源填 =部門列表</x:t>
        </x:is>
      </x:c>
    </x:row>
    <x:row r="30" s="113" customFormat="1" ht="36" customHeight="1">
      <x:c r="A30" s="22" t="n">
        <x:v>6</x:v>
      </x:c>
      <x:c r="B30" s="23" t="inlineStr">
        <x:is>
          <x:t xml:space="preserve">□</x:t>
        </x:is>
      </x:c>
      <x:c r="C30" s="24" t="inlineStr">
        <x:is>
          <x:t xml:space="preserve">🟡 變化</x:t>
        </x:is>
      </x:c>
      <x:c r="D30" s="25" t="inlineStr">
        <x:is>
          <x:t xml:space="preserve">建立連動下拉：主選單選「區域」→ 子選單用 INDIRECT 顯示該區域的業務員</x:t>
        </x:is>
      </x:c>
    </x:row>
    <x:row r="31" s="113" customFormat="1" ht="36" customHeight="1">
      <x:c r="A31" s="26" t="n">
        <x:v>7</x:v>
      </x:c>
      <x:c r="B31" s="27" t="inlineStr">
        <x:is>
          <x:t xml:space="preserve">□</x:t>
        </x:is>
      </x:c>
      <x:c r="C31" s="28" t="inlineStr">
        <x:is>
          <x:t xml:space="preserve">🔴 挑戰</x:t>
        </x:is>
      </x:c>
      <x:c r="D31" s="29" t="inlineStr">
        <x:is>
          <x:t xml:space="preserve">自訂公式驗證：=AND(LEN(A2)=10, LEFT(A2,1)="0") → 限制只能輸入 0 開頭的 10 碼</x:t>
        </x:is>
      </x:c>
    </x:row>
    <x:row r="32" s="113" customFormat="1" ht="36" customHeight="1">
      <x:c r="A32" s="26" t="n">
        <x:v>8</x:v>
      </x:c>
      <x:c r="B32" s="27" t="inlineStr">
        <x:is>
          <x:t xml:space="preserve">□</x:t>
        </x:is>
      </x:c>
      <x:c r="C32" s="28" t="inlineStr">
        <x:is>
          <x:t xml:space="preserve">🔴 挑戰</x:t>
        </x:is>
      </x:c>
      <x:c r="D32" s="29" t="inlineStr">
        <x:is>
          <x:t xml:space="preserve">在已有資料的欄位加上驗證後 → 資料 → 圈選無效資料 → 找出不符規則的舊資料</x:t>
        </x:is>
      </x:c>
    </x:row>
  </x:sheetData>
  <x:mergeCells>
    <x:mergeCell ref="A1:D1"/>
    <x:mergeCell ref="A17:D17"/>
    <x:mergeCell ref="A23:D23"/>
    <x:mergeCell ref="B14:D14"/>
    <x:mergeCell ref="A4:D4"/>
    <x:mergeCell ref="B19:C19"/>
    <x:mergeCell ref="B20:C20"/>
    <x:mergeCell ref="B13:D13"/>
    <x:mergeCell ref="B12:D12"/>
    <x:mergeCell ref="A2:D2"/>
    <x:mergeCell ref="A11:D11"/>
    <x:mergeCell ref="B15:D15"/>
    <x:mergeCell ref="B18:C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8" style="113" customWidth="1"/>
    <x:col min="2" max="2" width="8" style="113" customWidth="1"/>
    <x:col min="3" max="3" width="40" style="113" customWidth="1"/>
    <x:col min="4" max="4" width="35" style="113" customWidth="1"/>
    <x:col min="5" max="5" width="14" style="113" customWidth="1"/>
    <x:col min="6" max="6" width="30" style="113" customWidth="1"/>
    <x:col min="8" max="8" width="13" style="113" customWidth="1"/>
  </x:cols>
  <x:sheetData>
    <x:row r="1">
      <x:c r="A1" s="220" t="inlineStr">
        <x:is>
          <x:t xml:space="preserve">✂️ 文字與日期處理</x:t>
        </x:is>
      </x:c>
      <x:c r="G1" s="221" t="n"/>
      <x:c r="H1" s="221" t="n"/>
    </x:row>
    <x:row r="2">
      <x:c r="A2" s="222" t="inlineStr">
        <x:is>
          <x:t xml:space="preserve">在黃色邊框儲存格輸入公式 → 答對變綠 ✅ | 答錯變紅 ❌ | F欄提示選取可見</x:t>
        </x:is>
      </x:c>
      <x:c r="G2" s="221" t="n"/>
      <x:c r="H2" s="221" t="n"/>
    </x:row>
    <x:row r="3">
      <x:c r="A3" s="221" t="n"/>
      <x:c r="B3" s="221" t="n"/>
      <x:c r="C3" s="221" t="n"/>
      <x:c r="D3" s="221" t="n"/>
      <x:c r="E3" s="221" t="n"/>
      <x:c r="F3" s="221" t="n"/>
      <x:c r="G3" s="221" t="n"/>
      <x:c r="H3" s="221" t="n"/>
    </x:row>
    <x:row r="4">
      <x:c r="A4" s="223" t="inlineStr">
        <x:is>
          <x:t xml:space="preserve">📋 練習資料</x:t>
        </x:is>
      </x:c>
      <x:c r="F4" s="221" t="n"/>
      <x:c r="G4" s="221" t="n"/>
      <x:c r="H4" s="221" t="n"/>
    </x:row>
    <x:row r="5">
      <x:c r="A5" s="224" t="inlineStr">
        <x:is>
          <x:t xml:space="preserve">姓名</x:t>
        </x:is>
      </x:c>
      <x:c r="B5" s="224" t="inlineStr">
        <x:is>
          <x:t xml:space="preserve">身分證字號</x:t>
        </x:is>
      </x:c>
      <x:c r="C5" s="224" t="inlineStr">
        <x:is>
          <x:t xml:space="preserve">入職日期</x:t>
        </x:is>
      </x:c>
      <x:c r="D5" s="224" t="inlineStr">
        <x:is>
          <x:t xml:space="preserve">Email</x:t>
        </x:is>
      </x:c>
      <x:c r="E5" s="224" t="inlineStr">
        <x:is>
          <x:t xml:space="preserve">電話</x:t>
        </x:is>
      </x:c>
      <x:c r="F5" s="221" t="n"/>
      <x:c r="G5" s="221" t="n"/>
      <x:c r="H5" s="221" t="n"/>
    </x:row>
    <x:row r="6">
      <x:c r="A6" s="225" t="inlineStr">
        <x:is>
          <x:t xml:space="preserve">王小明</x:t>
        </x:is>
      </x:c>
      <x:c r="B6" s="225" t="inlineStr">
        <x:is>
          <x:t xml:space="preserve">A123456789</x:t>
        </x:is>
      </x:c>
      <x:c r="C6" s="225" t="inlineStr">
        <x:is>
          <x:t xml:space="preserve">2020/3/15</x:t>
        </x:is>
      </x:c>
      <x:c r="D6" s="225" t="inlineStr">
        <x:is>
          <x:t xml:space="preserve">wang@abc.com</x:t>
        </x:is>
      </x:c>
      <x:c r="E6" s="225" t="inlineStr">
        <x:is>
          <x:t xml:space="preserve">0912-345-678</x:t>
        </x:is>
      </x:c>
      <x:c r="F6" s="221" t="n"/>
      <x:c r="G6" s="221" t="n"/>
      <x:c r="H6" s="221" t="n"/>
    </x:row>
    <x:row r="7">
      <x:c r="A7" s="225" t="inlineStr">
        <x:is>
          <x:t xml:space="preserve">林美華</x:t>
        </x:is>
      </x:c>
      <x:c r="B7" s="225" t="inlineStr">
        <x:is>
          <x:t xml:space="preserve">B234567890</x:t>
        </x:is>
      </x:c>
      <x:c r="C7" s="225" t="inlineStr">
        <x:is>
          <x:t xml:space="preserve">2018/7/1</x:t>
        </x:is>
      </x:c>
      <x:c r="D7" s="225" t="inlineStr">
        <x:is>
          <x:t xml:space="preserve">lin@abc.com</x:t>
        </x:is>
      </x:c>
      <x:c r="E7" s="225" t="inlineStr">
        <x:is>
          <x:t xml:space="preserve">0923-456-789</x:t>
        </x:is>
      </x:c>
      <x:c r="F7" s="221" t="n"/>
      <x:c r="G7" s="221" t="n"/>
      <x:c r="H7" s="221" t="n"/>
    </x:row>
    <x:row r="8">
      <x:c r="A8" s="225" t="inlineStr">
        <x:is>
          <x:t xml:space="preserve">張志偉</x:t>
        </x:is>
      </x:c>
      <x:c r="B8" s="225" t="inlineStr">
        <x:is>
          <x:t xml:space="preserve">C345678901</x:t>
        </x:is>
      </x:c>
      <x:c r="C8" s="225" t="inlineStr">
        <x:is>
          <x:t xml:space="preserve">2022/1/20</x:t>
        </x:is>
      </x:c>
      <x:c r="D8" s="225" t="inlineStr">
        <x:is>
          <x:t xml:space="preserve">chang@xyz.com</x:t>
        </x:is>
      </x:c>
      <x:c r="E8" s="225" t="inlineStr">
        <x:is>
          <x:t xml:space="preserve">0934-567-890</x:t>
        </x:is>
      </x:c>
      <x:c r="F8" s="221" t="n"/>
      <x:c r="G8" s="221" t="n"/>
      <x:c r="H8" s="221" t="n"/>
    </x:row>
    <x:row r="9">
      <x:c r="A9" s="225" t="inlineStr">
        <x:is>
          <x:t xml:space="preserve">陳雅琪</x:t>
        </x:is>
      </x:c>
      <x:c r="B9" s="225" t="inlineStr">
        <x:is>
          <x:t xml:space="preserve">D456789012</x:t>
        </x:is>
      </x:c>
      <x:c r="C9" s="225" t="inlineStr">
        <x:is>
          <x:t xml:space="preserve">2019/11/5</x:t>
        </x:is>
      </x:c>
      <x:c r="D9" s="225" t="inlineStr">
        <x:is>
          <x:t xml:space="preserve">chen@xyz.com</x:t>
        </x:is>
      </x:c>
      <x:c r="E9" s="225" t="inlineStr">
        <x:is>
          <x:t xml:space="preserve">0945-678-901</x:t>
        </x:is>
      </x:c>
      <x:c r="F9" s="221" t="n"/>
      <x:c r="G9" s="221" t="n"/>
      <x:c r="H9" s="221" t="n"/>
    </x:row>
    <x:row r="10">
      <x:c r="A10" s="225" t="inlineStr">
        <x:is>
          <x:t xml:space="preserve">李大明</x:t>
        </x:is>
      </x:c>
      <x:c r="B10" s="225" t="inlineStr">
        <x:is>
          <x:t xml:space="preserve">E567890123</x:t>
        </x:is>
      </x:c>
      <x:c r="C10" s="225" t="inlineStr">
        <x:is>
          <x:t xml:space="preserve">2021/6/10</x:t>
        </x:is>
      </x:c>
      <x:c r="D10" s="225" t="inlineStr">
        <x:is>
          <x:t xml:space="preserve">lee@abc.com</x:t>
        </x:is>
      </x:c>
      <x:c r="E10" s="225" t="inlineStr">
        <x:is>
          <x:t xml:space="preserve">0956-789-012</x:t>
        </x:is>
      </x:c>
      <x:c r="F10" s="221" t="n"/>
      <x:c r="G10" s="221" t="n"/>
      <x:c r="H10" s="221" t="n"/>
    </x:row>
    <x:row r="11">
      <x:c r="A11" s="221" t="n"/>
      <x:c r="B11" s="221" t="n"/>
      <x:c r="C11" s="221" t="n"/>
      <x:c r="D11" s="221" t="n"/>
      <x:c r="E11" s="221" t="n"/>
      <x:c r="F11" s="221" t="n"/>
      <x:c r="G11" s="221" t="n"/>
      <x:c r="H11" s="221" t="n"/>
    </x:row>
    <x:row r="12">
      <x:c r="A12" s="221" t="n"/>
      <x:c r="B12" s="221" t="n"/>
      <x:c r="C12" s="221" t="n"/>
      <x:c r="D12" s="221" t="n"/>
      <x:c r="E12" s="221" t="n"/>
      <x:c r="F12" s="221" t="n"/>
      <x:c r="G12" s="221" t="n"/>
      <x:c r="H12" s="221" t="n"/>
    </x:row>
    <x:row r="13">
      <x:c r="A13" s="223" t="inlineStr">
        <x:is>
          <x:t xml:space="preserve">🎯 練習題</x:t>
        </x:is>
      </x:c>
      <x:c r="G13" s="221" t="n"/>
      <x:c r="H13" s="221" t="n"/>
    </x:row>
    <x:row r="14">
      <x:c r="A14" s="226" t="inlineStr">
        <x:is>
          <x:t xml:space="preserve">難度</x:t>
        </x:is>
      </x:c>
      <x:c r="B14" s="226" t="inlineStr">
        <x:is>
          <x:t xml:space="preserve">題號</x:t>
        </x:is>
      </x:c>
      <x:c r="C14" s="226" t="inlineStr">
        <x:is>
          <x:t xml:space="preserve">任務描述</x:t>
        </x:is>
      </x:c>
      <x:c r="D14" s="226" t="inlineStr">
        <x:is>
          <x:t xml:space="preserve">你的答案 ▼</x:t>
        </x:is>
      </x:c>
      <x:c r="E14" s="226" t="inlineStr">
        <x:is>
          <x:t xml:space="preserve">結果</x:t>
        </x:is>
      </x:c>
      <x:c r="F14" s="226" t="inlineStr">
        <x:is>
          <x:t xml:space="preserve">提示（反白可見）</x:t>
        </x:is>
      </x:c>
      <x:c r="G14" s="221" t="n"/>
      <x:c r="H14" s="221" t="n"/>
    </x:row>
    <x:row r="15">
      <x:c r="A15" s="227" t="inlineStr">
        <x:is>
          <x:t xml:space="preserve">🟢</x:t>
        </x:is>
      </x:c>
      <x:c r="B15" s="225" t="n">
        <x:v>1</x:v>
      </x:c>
      <x:c r="C15" s="225" t="inlineStr">
        <x:is>
          <x:t xml:space="preserve">取出王小明身分證前 1 碼（英文字母）</x:t>
        </x:is>
      </x:c>
      <x:c r="D15" s="228" t="n"/>
      <x:c r="E15" s="225" t="str">
        <x:f>IF(D15="","",IF(EXACT(TRIM(D15),TRIM(H15)),"✅ 正確！","❌ 再想想"))</x:f>
      </x:c>
      <x:c r="F15" s="229" t="inlineStr">
        <x:is>
          <x:t xml:space="preserve">LEFT(文字,字數)</x:t>
        </x:is>
      </x:c>
      <x:c r="G15" s="221" t="n"/>
      <x:c r="H15" s="216" t="str">
        <x:f>LEFT(B6,1)</x:f>
        <x:v>A</x:v>
      </x:c>
    </x:row>
    <x:row r="16">
      <x:c r="A16" s="227" t="inlineStr">
        <x:is>
          <x:t xml:space="preserve">🟢</x:t>
        </x:is>
      </x:c>
      <x:c r="B16" s="225" t="n">
        <x:v>2</x:v>
      </x:c>
      <x:c r="C16" s="225" t="inlineStr">
        <x:is>
          <x:t xml:space="preserve">取出王小明 Email 的 @ 後面域名</x:t>
        </x:is>
      </x:c>
      <x:c r="D16" s="228" t="n"/>
      <x:c r="E16" s="225" t="str">
        <x:f>IF(D16="","",IF(EXACT(TRIM(D16),TRIM(H16)),"✅ 正確！","❌ 再想想"))</x:f>
      </x:c>
      <x:c r="F16" s="229" t="inlineStr">
        <x:is>
          <x:t xml:space="preserve">MID + FIND("@",文字)</x:t>
        </x:is>
      </x:c>
      <x:c r="G16" s="221" t="n"/>
      <x:c r="H16" s="216" t="str">
        <x:f>MID(D6,FIND("@",D6)+1,100)</x:f>
        <x:v>abc.com</x:v>
      </x:c>
    </x:row>
    <x:row r="17">
      <x:c r="A17" s="230" t="inlineStr">
        <x:is>
          <x:t xml:space="preserve">🔵</x:t>
        </x:is>
      </x:c>
      <x:c r="B17" s="225" t="n">
        <x:v>3</x:v>
      </x:c>
      <x:c r="C17" s="225" t="inlineStr">
        <x:is>
          <x:t xml:space="preserve">計算王小明的年資（到今天的完整年數）</x:t>
        </x:is>
      </x:c>
      <x:c r="D17" s="228" t="n"/>
      <x:c r="E17" s="225" t="str">
        <x:f>IF(D17="","",IF(ROUND(D17,2)=ROUND(H17,2),"✅ 正確！","❌ 再想想"))</x:f>
      </x:c>
      <x:c r="F17" s="229" t="inlineStr">
        <x:is>
          <x:t xml:space="preserve">DATEDIF(開始,結束,"Y")</x:t>
        </x:is>
      </x:c>
      <x:c r="G17" s="221" t="n"/>
      <x:c r="H17" s="216" t="e">
        <x:f>DATEDIF(C6,TODAY(),"Y")</x:f>
      </x:c>
    </x:row>
    <x:row r="18">
      <x:c r="A18" s="230" t="inlineStr">
        <x:is>
          <x:t xml:space="preserve">🔵</x:t>
        </x:is>
      </x:c>
      <x:c r="B18" s="225" t="n">
        <x:v>4</x:v>
      </x:c>
      <x:c r="C18" s="225" t="inlineStr">
        <x:is>
          <x:t xml:space="preserve">把王小明的姓和名串接，中間加空格</x:t>
        </x:is>
      </x:c>
      <x:c r="D18" s="228" t="n"/>
      <x:c r="E18" s="225" t="str">
        <x:f>IF(D18="","",IF(EXACT(TRIM(D18),TRIM(H18)),"✅ 正確！","❌ 再想想"))</x:f>
      </x:c>
      <x:c r="F18" s="229" t="inlineStr">
        <x:is>
          <x:t xml:space="preserve">LEFT取姓 &amp; " " &amp; MID取名</x:t>
        </x:is>
      </x:c>
      <x:c r="G18" s="221" t="n"/>
      <x:c r="H18" s="216" t="str">
        <x:f>LEFT(A6,1)&amp;" "&amp;MID(A6,2,10)</x:f>
        <x:v>王 小明</x:v>
      </x:c>
    </x:row>
    <x:row r="19">
      <x:c r="A19" s="231" t="inlineStr">
        <x:is>
          <x:t xml:space="preserve">🟡</x:t>
        </x:is>
      </x:c>
      <x:c r="B19" s="225" t="n">
        <x:v>5</x:v>
      </x:c>
      <x:c r="C19" s="225" t="inlineStr">
        <x:is>
          <x:t xml:space="preserve">取出王小明入職日期的月份</x:t>
        </x:is>
      </x:c>
      <x:c r="D19" s="228" t="n"/>
      <x:c r="E19" s="225" t="str">
        <x:f>IF(D19="","",IF(ROUND(D19,2)=ROUND(H19,2),"✅ 正確！","❌ 再想想"))</x:f>
      </x:c>
      <x:c r="F19" s="229" t="inlineStr">
        <x:is>
          <x:t xml:space="preserve">MONTH(日期)</x:t>
        </x:is>
      </x:c>
      <x:c r="G19" s="221" t="n"/>
      <x:c r="H19" s="216" t="n">
        <x:f>MONTH(C6)</x:f>
        <x:v>3</x:v>
      </x:c>
    </x:row>
    <x:row r="20">
      <x:c r="A20" s="231" t="inlineStr">
        <x:is>
          <x:t xml:space="preserve">🟡</x:t>
        </x:is>
      </x:c>
      <x:c r="B20" s="225" t="n">
        <x:v>6</x:v>
      </x:c>
      <x:c r="C20" s="225" t="inlineStr">
        <x:is>
          <x:t xml:space="preserve">將王小明姓名全轉大寫（英文測試用 Email）</x:t>
        </x:is>
      </x:c>
      <x:c r="D20" s="228" t="n"/>
      <x:c r="E20" s="225" t="str">
        <x:f>IF(D20="","",IF(EXACT(TRIM(D20),TRIM(H20)),"✅ 正確！","❌ 再想想"))</x:f>
      </x:c>
      <x:c r="F20" s="229" t="inlineStr">
        <x:is>
          <x:t xml:space="preserve">UPPER(文字)</x:t>
        </x:is>
      </x:c>
      <x:c r="G20" s="221" t="n"/>
      <x:c r="H20" s="216" t="str">
        <x:f>UPPER(D6)</x:f>
        <x:v>WANG@ABC.COM</x:v>
      </x:c>
    </x:row>
    <x:row r="21">
      <x:c r="A21" s="232" t="inlineStr">
        <x:is>
          <x:t xml:space="preserve">🔴</x:t>
        </x:is>
      </x:c>
      <x:c r="B21" s="225" t="n">
        <x:v>7</x:v>
      </x:c>
      <x:c r="C21" s="225" t="inlineStr">
        <x:is>
          <x:t xml:space="preserve">計算王小明電話號碼中去掉 - 後的純數字長度</x:t>
        </x:is>
      </x:c>
      <x:c r="D21" s="228" t="n"/>
      <x:c r="E21" s="225" t="str">
        <x:f>IF(D21="","",IF(ROUND(D21,2)=ROUND(H21,2),"✅ 正確！","❌ 再想想"))</x:f>
      </x:c>
      <x:c r="F21" s="229" t="inlineStr">
        <x:is>
          <x:t xml:space="preserve">LEN(SUBSTITUTE(文字,"-",""))</x:t>
        </x:is>
      </x:c>
      <x:c r="G21" s="221" t="n"/>
      <x:c r="H21" s="216" t="n">
        <x:f>LEN(SUBSTITUTE(E6,"-",""))</x:f>
        <x:v>9</x:v>
      </x:c>
    </x:row>
    <x:row r="22">
      <x:c r="A22" s="232" t="inlineStr">
        <x:is>
          <x:t xml:space="preserve">🔴</x:t>
        </x:is>
      </x:c>
      <x:c r="B22" s="225" t="n">
        <x:v>8</x:v>
      </x:c>
      <x:c r="C22" s="225" t="inlineStr">
        <x:is>
          <x:t xml:space="preserve">用 TEXT 把王小明入職日期格式化為 "2020年03月"</x:t>
        </x:is>
      </x:c>
      <x:c r="D22" s="228" t="n"/>
      <x:c r="E22" s="225" t="str">
        <x:f>IF(D22="","",IF(EXACT(TRIM(D22),TRIM(H22)),"✅ 正確！","❌ 再想想"))</x:f>
      </x:c>
      <x:c r="F22" s="229" t="inlineStr">
        <x:is>
          <x:t xml:space="preserve">TEXT(日期,"yyyy年mm月")</x:t>
        </x:is>
      </x:c>
      <x:c r="G22" s="221" t="n"/>
      <x:c r="H22" s="216" t="str">
        <x:f>TEXT(C6,"yyyy年mm月")</x:f>
        <x:v>2020/3/15</x:v>
      </x:c>
    </x:row>
    <x:row r="23">
      <x:c r="A23" s="221" t="n"/>
      <x:c r="B23" s="221" t="n"/>
      <x:c r="C23" s="221" t="n"/>
      <x:c r="D23" s="221" t="n"/>
      <x:c r="E23" s="221" t="n"/>
      <x:c r="F23" s="221" t="n"/>
      <x:c r="G23" s="221" t="n"/>
      <x:c r="H23" s="221" t="n"/>
    </x:row>
    <x:row r="24">
      <x:c r="A24" s="221" t="n"/>
      <x:c r="B24" s="221" t="n"/>
      <x:c r="C24" s="233" t="inlineStr">
        <x:is>
          <x:t xml:space="preserve">得分：</x:t>
        </x:is>
      </x:c>
      <x:c r="D24" s="234" t="str">
        <x:f>COUNTIF(E16:E23,"✅ 正確！") &amp; " / 8 正確"</x:f>
        <x:v>0 / 8 正確</x:v>
      </x:c>
      <x:c r="E24" s="221" t="n"/>
      <x:c r="F24" s="221" t="n"/>
      <x:c r="G24" s="221" t="n"/>
      <x:c r="H24" s="221" t="n"/>
    </x:row>
    <x:row r="25">
      <x:c r="A25" s="221" t="n"/>
      <x:c r="B25" s="221" t="n"/>
      <x:c r="C25" s="221" t="n"/>
      <x:c r="D25" s="221" t="n"/>
      <x:c r="E25" s="221" t="n"/>
      <x:c r="F25" s="221" t="n"/>
      <x:c r="G25" s="221" t="n"/>
      <x:c r="H25" s="221" t="n"/>
    </x:row>
  </x:sheetData>
  <x:mergeCells>
    <x:mergeCell ref="A13:F13"/>
    <x:mergeCell ref="A2:F2"/>
    <x:mergeCell ref="A1:F1"/>
    <x:mergeCell ref="A4:E4"/>
  </x:mergeCells>
  <x:conditionalFormatting sqref="D15:D15">
    <x:cfRule type="expression" dxfId="17" priority="1">
      <x:formula>AND(D15&lt;&gt;"",EXACT(TRIM(D15),TRIM(H15)))</x:formula>
    </x:cfRule>
  </x:conditionalFormatting>
  <x:conditionalFormatting sqref="D16:D16">
    <x:cfRule type="expression" dxfId="17" priority="2">
      <x:formula>AND(D16&lt;&gt;"",EXACT(TRIM(D16),TRIM(H16)))</x:formula>
    </x:cfRule>
  </x:conditionalFormatting>
  <x:conditionalFormatting sqref="D17:D17">
    <x:cfRule type="expression" dxfId="17" priority="3">
      <x:formula>AND(D17&lt;&gt;"",ROUND(D17,2)=ROUND(H17,2))</x:formula>
    </x:cfRule>
  </x:conditionalFormatting>
  <x:conditionalFormatting sqref="D18:D18">
    <x:cfRule type="expression" dxfId="17" priority="4">
      <x:formula>AND(D18&lt;&gt;"",EXACT(TRIM(D18),TRIM(H18)))</x:formula>
    </x:cfRule>
  </x:conditionalFormatting>
  <x:conditionalFormatting sqref="D19:D19">
    <x:cfRule type="expression" dxfId="17" priority="5">
      <x:formula>AND(D19&lt;&gt;"",ROUND(D19,2)=ROUND(H19,2))</x:formula>
    </x:cfRule>
  </x:conditionalFormatting>
  <x:conditionalFormatting sqref="D20:D20">
    <x:cfRule type="expression" dxfId="17" priority="6">
      <x:formula>AND(D20&lt;&gt;"",EXACT(TRIM(D20),TRIM(H20)))</x:formula>
    </x:cfRule>
  </x:conditionalFormatting>
  <x:conditionalFormatting sqref="D21:D21">
    <x:cfRule type="expression" dxfId="17" priority="7">
      <x:formula>AND(D21&lt;&gt;"",ROUND(D21,2)=ROUND(H21,2))</x:formula>
    </x:cfRule>
  </x:conditionalFormatting>
  <x:conditionalFormatting sqref="D22:D22">
    <x:cfRule type="expression" dxfId="17" priority="8">
      <x:formula>AND(D22&lt;&gt;"",EXACT(TRIM(D22),TRIM(H22)))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4" t="inlineStr">
        <x:is>
          <x:t xml:space="preserve">📈 圖表設計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難度：🟡 Lv.3  |  把數字變成故事  |  簡報必備技能</x:t>
        </x:is>
      </x:c>
    </x:row>
    <x:row r="4" s="113" customFormat="1" ht="21.75" customHeight="1">
      <x:c r="A4" s="5" t="inlineStr">
        <x:is>
          <x:t xml:space="preserve">📌 選對圖表類型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直條圖/橫條圖</x:t>
        </x:is>
      </x:c>
      <x:c r="B5" s="7" t="inlineStr">
        <x:is>
          <x:t xml:space="preserve">比較不同項目的數值大小</x:t>
        </x:is>
      </x:c>
      <x:c r="C5" s="7" t="inlineStr">
        <x:is>
          <x:t xml:space="preserve">最泛用，適合類別比較</x:t>
        </x:is>
      </x:c>
      <x:c r="D5" s="8" t="inlineStr">
        <x:is>
          <x:t xml:space="preserve">項目多用橫條，少用直條</x:t>
        </x:is>
      </x:c>
    </x:row>
    <x:row r="6" s="113" customFormat="1" ht="24" customHeight="1">
      <x:c r="A6" s="6" t="inlineStr">
        <x:is>
          <x:t xml:space="preserve">折線圖</x:t>
        </x:is>
      </x:c>
      <x:c r="B6" s="7" t="inlineStr">
        <x:is>
          <x:t xml:space="preserve">顯示趨勢變化（時間序列）</x:t>
        </x:is>
      </x:c>
      <x:c r="C6" s="31" t="inlineStr">
        <x:is>
          <x:t xml:space="preserve">X 軸通常是時間</x:t>
        </x:is>
      </x:c>
      <x:c r="D6" s="8" t="inlineStr">
        <x:is>
          <x:t xml:space="preserve">超過 5 條線就太雜了</x:t>
        </x:is>
      </x:c>
    </x:row>
    <x:row r="7" s="113" customFormat="1" ht="24" customHeight="1">
      <x:c r="A7" s="6" t="inlineStr">
        <x:is>
          <x:t xml:space="preserve">圓餅圖</x:t>
        </x:is>
      </x:c>
      <x:c r="B7" s="7" t="inlineStr">
        <x:is>
          <x:t xml:space="preserve">顯示比例構成</x:t>
        </x:is>
      </x:c>
      <x:c r="C7" s="7" t="inlineStr">
        <x:is>
          <x:t xml:space="preserve">只適合 3~6 個類別</x:t>
        </x:is>
      </x:c>
      <x:c r="D7" s="8" t="inlineStr">
        <x:is>
          <x:t xml:space="preserve">專業人士其實很少用圓餅圖</x:t>
        </x:is>
      </x:c>
    </x:row>
    <x:row r="8" s="113" customFormat="1" ht="24" customHeight="1">
      <x:c r="A8" s="6" t="inlineStr">
        <x:is>
          <x:t xml:space="preserve">散佈圖</x:t>
        </x:is>
      </x:c>
      <x:c r="B8" s="7" t="inlineStr">
        <x:is>
          <x:t xml:space="preserve">顯示兩個變數的相關性</x:t>
        </x:is>
      </x:c>
      <x:c r="C8" s="7" t="inlineStr">
        <x:is>
          <x:t xml:space="preserve">需要 X/Y 兩組數值資料</x:t>
        </x:is>
      </x:c>
      <x:c r="D8" s="8" t="inlineStr">
        <x:is>
          <x:t xml:space="preserve">加趨勢線：右鍵 → 新增趨勢線</x:t>
        </x:is>
      </x:c>
    </x:row>
    <x:row r="9" s="113" customFormat="1" ht="24" customHeight="1">
      <x:c r="A9" s="6" t="inlineStr">
        <x:is>
          <x:t xml:space="preserve">組合圖</x:t>
        </x:is>
      </x:c>
      <x:c r="B9" s="7" t="inlineStr">
        <x:is>
          <x:t xml:space="preserve">不同量級的資料放同一圖（如營收+利潤率）</x:t>
        </x:is>
      </x:c>
      <x:c r="C9" s="7" t="inlineStr">
        <x:is>
          <x:t xml:space="preserve">插入 → 組合圖 → 選擇副座標軸</x:t>
        </x:is>
      </x:c>
      <x:c r="D9" s="8" t="inlineStr">
        <x:is>
          <x:t xml:space="preserve">營收用直條、利潤率用折線</x:t>
        </x:is>
      </x:c>
    </x:row>
    <x:row r="10" s="113" customFormat="1" ht="24" customHeight="1">
      <x:c r="A10" s="6" t="inlineStr">
        <x:is>
          <x:t xml:space="preserve">走勢圖(Sparklines)</x:t>
        </x:is>
      </x:c>
      <x:c r="B10" s="7" t="inlineStr">
        <x:is>
          <x:t xml:space="preserve">插入 → 走勢圖 → 選範圍</x:t>
        </x:is>
      </x:c>
      <x:c r="C10" s="7" t="inlineStr">
        <x:is>
          <x:t xml:space="preserve">迷你圖放在儲存格裡，適合儀表板</x:t>
        </x:is>
      </x:c>
      <x:c r="D10" s="8" t="inlineStr">
        <x:is>
          <x:t xml:space="preserve">折線/直條/盈虧 三種</x:t>
        </x:is>
      </x:c>
    </x:row>
    <x:row r="12" s="113" customFormat="1" ht="21.75" customHeight="1">
      <x:c r="A12" s="5" t="inlineStr">
        <x:is>
          <x:t xml:space="preserve">🎨 專業圖表設計原則</x:t>
        </x:is>
      </x:c>
      <x:c r="B12" s="2" t="n"/>
      <x:c r="C12" s="2" t="n"/>
      <x:c r="D12" s="3" t="n"/>
    </x:row>
    <x:row r="13" s="113" customFormat="1" ht="24" customHeight="1">
      <x:c r="A13" s="6" t="inlineStr">
        <x:is>
          <x:t xml:space="preserve">刪除多餘元素</x:t>
        </x:is>
      </x:c>
      <x:c r="B13" s="7" t="inlineStr">
        <x:is>
          <x:t xml:space="preserve">去掉格線、圖例（如果只有一組）、框線</x:t>
        </x:is>
      </x:c>
      <x:c r="C13" s="2" t="n"/>
      <x:c r="D13" s="3" t="n"/>
    </x:row>
    <x:row r="14" s="113" customFormat="1" ht="24" customHeight="1">
      <x:c r="A14" s="6" t="inlineStr">
        <x:is>
          <x:t xml:space="preserve">直接標記數據</x:t>
        </x:is>
      </x:c>
      <x:c r="B14" s="7" t="inlineStr">
        <x:is>
          <x:t xml:space="preserve">在資料點上標數字，不要讓讀者去對座標軸</x:t>
        </x:is>
      </x:c>
      <x:c r="C14" s="2" t="n"/>
      <x:c r="D14" s="3" t="n"/>
    </x:row>
    <x:row r="15" s="113" customFormat="1" ht="24" customHeight="1">
      <x:c r="A15" s="6" t="inlineStr">
        <x:is>
          <x:t xml:space="preserve">使用品牌色彩</x:t>
        </x:is>
      </x:c>
      <x:c r="B15" s="7" t="inlineStr">
        <x:is>
          <x:t xml:space="preserve">統一 2~3 個色系，避免彩虹配色</x:t>
        </x:is>
      </x:c>
      <x:c r="C15" s="2" t="n"/>
      <x:c r="D15" s="3" t="n"/>
    </x:row>
    <x:row r="16" s="113" customFormat="1" ht="24" customHeight="1">
      <x:c r="A16" s="6" t="inlineStr">
        <x:is>
          <x:t xml:space="preserve">標題要有觀點</x:t>
        </x:is>
      </x:c>
      <x:c r="B16" s="7" t="inlineStr">
        <x:is>
          <x:t xml:space="preserve">不要「月營收」→ 改成「營收連續 3 月成長 15%」</x:t>
        </x:is>
      </x:c>
      <x:c r="C16" s="2" t="n"/>
      <x:c r="D16" s="3" t="n"/>
    </x:row>
    <x:row r="17" s="113" customFormat="1" ht="24" customHeight="1">
      <x:c r="A17" s="6" t="inlineStr">
        <x:is>
          <x:t xml:space="preserve">字型一致</x:t>
        </x:is>
      </x:c>
      <x:c r="B17" s="7" t="inlineStr">
        <x:is>
          <x:t xml:space="preserve">圖表字型與報表一致，建議 10~12pt Arial</x:t>
        </x:is>
      </x:c>
      <x:c r="C17" s="2" t="n"/>
      <x:c r="D17" s="3" t="n"/>
    </x:row>
    <x:row r="19" s="113" customFormat="1" ht="21.75" customHeight="1">
      <x:c r="A19" s="5" t="inlineStr">
        <x:is>
          <x:t xml:space="preserve">⚡ 高手技巧</x:t>
        </x:is>
      </x:c>
      <x:c r="B19" s="2" t="n"/>
      <x:c r="C19" s="2" t="n"/>
      <x:c r="D19" s="3" t="n"/>
    </x:row>
    <x:row r="20" s="113" customFormat="1" ht="24" customHeight="1">
      <x:c r="A20" s="6" t="inlineStr">
        <x:is>
          <x:t xml:space="preserve">動態圖表</x:t>
        </x:is>
      </x:c>
      <x:c r="B20" s="7" t="inlineStr">
        <x:is>
          <x:t xml:space="preserve">資料轉表格 (⌘+T) → 圖表會自動更新範圍</x:t>
        </x:is>
      </x:c>
      <x:c r="C20" s="2" t="n"/>
      <x:c r="D20" s="3" t="n"/>
    </x:row>
    <x:row r="21" s="113" customFormat="1" ht="24" customHeight="1">
      <x:c r="A21" s="6" t="inlineStr">
        <x:is>
          <x:t xml:space="preserve">圖表範本</x:t>
        </x:is>
      </x:c>
      <x:c r="B21" s="7" t="inlineStr">
        <x:is>
          <x:t xml:space="preserve">右鍵圖表 → 另存為範本 → 下次直接套用</x:t>
        </x:is>
      </x:c>
      <x:c r="C21" s="2" t="n"/>
      <x:c r="D21" s="3" t="n"/>
    </x:row>
    <x:row r="22" s="113" customFormat="1" ht="24" customHeight="1">
      <x:c r="A22" s="6" t="inlineStr">
        <x:is>
          <x:t xml:space="preserve">快速鍵</x:t>
        </x:is>
      </x:c>
      <x:c r="B22" s="31" t="inlineStr">
        <x:is>
          <x:t xml:space="preserve">Fn+⌥+F1 一鍵插入圖表；Fn+F11 插入到新工作表</x:t>
        </x:is>
      </x:c>
      <x:c r="C22" s="2" t="n"/>
      <x:c r="D22" s="3" t="n"/>
    </x:row>
    <x:row r="23" s="113" customFormat="1" ht="24" customHeight="1">
      <x:c r="A23" s="6" t="inlineStr">
        <x:is>
          <x:t xml:space="preserve">樞紐圖表</x:t>
        </x:is>
      </x:c>
      <x:c r="B23" s="7" t="inlineStr">
        <x:is>
          <x:t xml:space="preserve">從樞紐分析表直接建圖，篩選連動</x:t>
        </x:is>
      </x:c>
      <x:c r="C23" s="3" t="n"/>
      <x:c r="D23" s="8" t="inlineStr">
        <x:is>
          <x:t xml:space="preserve">分析 → 樞紐圖表</x:t>
        </x:is>
      </x:c>
    </x:row>
    <x:row r="26" s="113" customFormat="1" ht="30" customHeight="1">
      <x:c r="A26" s="10" t="inlineStr">
        <x:is>
          <x:t xml:space="preserve">🎯 動手練習（做完打 ✓，難度漸進！）</x:t>
        </x:is>
      </x:c>
      <x:c r="B26" s="11" t="n"/>
      <x:c r="C26" s="11" t="n"/>
      <x:c r="D26" s="12" t="n"/>
    </x:row>
    <x:row r="27" s="113" customFormat="1" ht="15.199999809265137" customHeight="1">
      <x:c r="A27" s="13" t="inlineStr">
        <x:is>
          <x:t xml:space="preserve">#</x:t>
        </x:is>
      </x:c>
      <x:c r="B27" s="13" t="inlineStr">
        <x:is>
          <x:t xml:space="preserve">✓</x:t>
        </x:is>
      </x:c>
      <x:c r="C27" s="13" t="inlineStr">
        <x:is>
          <x:t xml:space="preserve">難度</x:t>
        </x:is>
      </x:c>
      <x:c r="D27" s="13" t="inlineStr">
        <x:is>
          <x:t xml:space="preserve">任務描述</x:t>
        </x:is>
      </x:c>
    </x:row>
    <x:row r="28" s="113" customFormat="1" ht="36" customHeight="1">
      <x:c r="A28" s="14" t="n">
        <x:v>1</x:v>
      </x:c>
      <x:c r="B28" s="15" t="inlineStr">
        <x:is>
          <x:t xml:space="preserve">□</x:t>
        </x:is>
      </x:c>
      <x:c r="C28" s="16" t="inlineStr">
        <x:is>
          <x:t xml:space="preserve">🟢 暖身</x:t>
        </x:is>
      </x:c>
      <x:c r="D28" s="17" t="inlineStr">
        <x:is>
          <x:t xml:space="preserve">選取「📊 基礎函式」的業績資料 → 插入直條圖 → 觀察自動產生的圖表</x:t>
        </x:is>
      </x:c>
    </x:row>
    <x:row r="29" s="113" customFormat="1" ht="36" customHeight="1">
      <x:c r="A29" s="14" t="n">
        <x:v>2</x:v>
      </x:c>
      <x:c r="B29" s="15" t="inlineStr">
        <x:is>
          <x:t xml:space="preserve">□</x:t>
        </x:is>
      </x:c>
      <x:c r="C29" s="16" t="inlineStr">
        <x:is>
          <x:t xml:space="preserve">🟢 暖身</x:t>
        </x:is>
      </x:c>
      <x:c r="D29" s="17" t="inlineStr">
        <x:is>
          <x:t xml:space="preserve">把同一份資料改成折線圖 → 對比直條 vs 折線，哪個更適合看趨勢？</x:t>
        </x:is>
      </x:c>
    </x:row>
    <x:row r="30" s="113" customFormat="1" ht="36" customHeight="1">
      <x:c r="A30" s="18" t="n">
        <x:v>3</x:v>
      </x:c>
      <x:c r="B30" s="19" t="inlineStr">
        <x:is>
          <x:t xml:space="preserve">□</x:t>
        </x:is>
      </x:c>
      <x:c r="C30" s="20" t="inlineStr">
        <x:is>
          <x:t xml:space="preserve">🔵 標準</x:t>
        </x:is>
      </x:c>
      <x:c r="D30" s="21" t="inlineStr">
        <x:is>
          <x:t xml:space="preserve">刪除不必要的格線和框線 → 加上資料標籤 → 讓數字直接顯示在圖上</x:t>
        </x:is>
      </x:c>
    </x:row>
    <x:row r="31" s="113" customFormat="1" ht="36" customHeight="1">
      <x:c r="A31" s="18" t="n">
        <x:v>4</x:v>
      </x:c>
      <x:c r="B31" s="19" t="inlineStr">
        <x:is>
          <x:t xml:space="preserve">□</x:t>
        </x:is>
      </x:c>
      <x:c r="C31" s="20" t="inlineStr">
        <x:is>
          <x:t xml:space="preserve">🔵 標準</x:t>
        </x:is>
      </x:c>
      <x:c r="D31" s="21" t="inlineStr">
        <x:is>
          <x:t xml:space="preserve">修改標題：從「業績」改成有觀點的標題，如「Q2 業績成長 15%，張志偉持續領先」</x:t>
        </x:is>
      </x:c>
    </x:row>
    <x:row r="32" s="113" customFormat="1" ht="36" customHeight="1">
      <x:c r="A32" s="22" t="n">
        <x:v>5</x:v>
      </x:c>
      <x:c r="B32" s="23" t="inlineStr">
        <x:is>
          <x:t xml:space="preserve">□</x:t>
        </x:is>
      </x:c>
      <x:c r="C32" s="24" t="inlineStr">
        <x:is>
          <x:t xml:space="preserve">🟡 變化</x:t>
        </x:is>
      </x:c>
      <x:c r="D32" s="25" t="inlineStr">
        <x:is>
          <x:t xml:space="preserve">建立組合圖：左軸=金額（直條），右軸=成長率（折線），用在不同量級的資料</x:t>
        </x:is>
      </x:c>
    </x:row>
    <x:row r="33" s="113" customFormat="1" ht="36" customHeight="1">
      <x:c r="A33" s="22" t="n">
        <x:v>6</x:v>
      </x:c>
      <x:c r="B33" s="23" t="inlineStr">
        <x:is>
          <x:t xml:space="preserve">□</x:t>
        </x:is>
      </x:c>
      <x:c r="C33" s="24" t="inlineStr">
        <x:is>
          <x:t xml:space="preserve">🟡 變化</x:t>
        </x:is>
      </x:c>
      <x:c r="D33" s="25" t="inlineStr">
        <x:is>
          <x:t xml:space="preserve">在每位業務員旁邊加走勢圖（Sparklines）：插入 → 走勢圖 → 折線</x:t>
        </x:is>
      </x:c>
    </x:row>
    <x:row r="34" s="113" customFormat="1" ht="36" customHeight="1">
      <x:c r="A34" s="26" t="n">
        <x:v>7</x:v>
      </x:c>
      <x:c r="B34" s="27" t="inlineStr">
        <x:is>
          <x:t xml:space="preserve">□</x:t>
        </x:is>
      </x:c>
      <x:c r="C34" s="28" t="inlineStr">
        <x:is>
          <x:t xml:space="preserve">🔴 挑戰</x:t>
        </x:is>
      </x:c>
      <x:c r="D34" s="29" t="inlineStr">
        <x:is>
          <x:t xml:space="preserve">做一張「儀表板風格」圖表：只用 2 個顏色、無格線、有觀點標題、字體一致</x:t>
        </x:is>
      </x:c>
    </x:row>
    <x:row r="35" s="113" customFormat="1" ht="36" customHeight="1">
      <x:c r="A35" s="26" t="n">
        <x:v>8</x:v>
      </x:c>
      <x:c r="B35" s="27" t="inlineStr">
        <x:is>
          <x:t xml:space="preserve">□</x:t>
        </x:is>
      </x:c>
      <x:c r="C35" s="28" t="inlineStr">
        <x:is>
          <x:t xml:space="preserve">🔴 挑戰</x:t>
        </x:is>
      </x:c>
      <x:c r="D35" s="29" t="inlineStr">
        <x:is>
          <x:t xml:space="preserve">嘗試建立瀑布圖（Waterfall Chart）來展示收入和支出的累計效果</x:t>
        </x:is>
      </x:c>
    </x:row>
  </x:sheetData>
  <x:mergeCells>
    <x:mergeCell ref="A1:D1"/>
    <x:mergeCell ref="B14:D14"/>
    <x:mergeCell ref="A12:D12"/>
    <x:mergeCell ref="A4:D4"/>
    <x:mergeCell ref="B22:D22"/>
    <x:mergeCell ref="A26:D26"/>
    <x:mergeCell ref="B17:D17"/>
    <x:mergeCell ref="B23:C23"/>
    <x:mergeCell ref="B13:D13"/>
    <x:mergeCell ref="B21:D21"/>
    <x:mergeCell ref="A2:D2"/>
    <x:mergeCell ref="A19:D19"/>
    <x:mergeCell ref="B15:D15"/>
    <x:mergeCell ref="B16:D16"/>
    <x:mergeCell ref="B20:D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4" t="inlineStr">
        <x:is>
          <x:t xml:space="preserve">🔗 命名範圍&amp;表格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難度：🟡 Lv.3  |  讓公式易讀、範圍自動擴展</x:t>
        </x:is>
      </x:c>
    </x:row>
    <x:row r="4" s="113" customFormat="1" ht="21.75" customHeight="1">
      <x:c r="A4" s="5" t="inlineStr">
        <x:is>
          <x:t xml:space="preserve">📌 命名範圍（Named Range）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建立方式 1</x:t>
        </x:is>
      </x:c>
      <x:c r="B5" s="7" t="inlineStr">
        <x:is>
          <x:t xml:space="preserve">選取範圍 → 在名稱方塊（左上角）直接輸入名稱</x:t>
        </x:is>
      </x:c>
      <x:c r="C5" s="3" t="n"/>
      <x:c r="D5" s="8" t="inlineStr">
        <x:is>
          <x:t xml:space="preserve">最快的方式</x:t>
        </x:is>
      </x:c>
    </x:row>
    <x:row r="6" s="113" customFormat="1" ht="24" customHeight="1">
      <x:c r="A6" s="6" t="inlineStr">
        <x:is>
          <x:t xml:space="preserve">建立方式 2</x:t>
        </x:is>
      </x:c>
      <x:c r="B6" s="7" t="inlineStr">
        <x:is>
          <x:t xml:space="preserve">公式 → 定義名稱 → 輸入名稱與參照</x:t>
        </x:is>
      </x:c>
      <x:c r="C6" s="3" t="n"/>
      <x:c r="D6" s="8" t="inlineStr">
        <x:is>
          <x:t xml:space="preserve">可以加註解</x:t>
        </x:is>
      </x:c>
    </x:row>
    <x:row r="7" s="113" customFormat="1" ht="24" customHeight="1">
      <x:c r="A7" s="6" t="inlineStr">
        <x:is>
          <x:t xml:space="preserve">建立方式 3</x:t>
        </x:is>
      </x:c>
      <x:c r="B7" s="31" t="inlineStr">
        <x:is>
          <x:t xml:space="preserve">⌘+⇧+F3 → 依選取範圍自動建立</x:t>
        </x:is>
      </x:c>
      <x:c r="C7" s="3" t="n"/>
      <x:c r="D7" s="8" t="inlineStr">
        <x:is>
          <x:t xml:space="preserve">欄標題自動變成名稱</x:t>
        </x:is>
      </x:c>
    </x:row>
    <x:row r="8" s="113" customFormat="1" ht="24" customHeight="1">
      <x:c r="A8" s="6" t="inlineStr">
        <x:is>
          <x:t xml:space="preserve">管理</x:t>
        </x:is>
      </x:c>
      <x:c r="B8" s="7" t="inlineStr">
        <x:is>
          <x:t xml:space="preserve">公式 → 名稱管理員 → 檢視/修改/刪除</x:t>
        </x:is>
      </x:c>
      <x:c r="C8" s="3" t="n"/>
      <x:c r="D8" s="8" t="inlineStr">
        <x:is>
          <x:t xml:space="preserve">定期清理不再使用的名稱</x:t>
        </x:is>
      </x:c>
    </x:row>
    <x:row r="10" s="113" customFormat="1" ht="21.75" customHeight="1">
      <x:c r="A10" s="5" t="inlineStr">
        <x:is>
          <x:t xml:space="preserve">💡 命名範圍的好處</x:t>
        </x:is>
      </x:c>
      <x:c r="B10" s="2" t="n"/>
      <x:c r="C10" s="2" t="n"/>
      <x:c r="D10" s="3" t="n"/>
    </x:row>
    <x:row r="11" s="113" customFormat="1" ht="24" customHeight="1">
      <x:c r="A11" s="6" t="inlineStr">
        <x:is>
          <x:t xml:space="preserve">公式更易讀</x:t>
        </x:is>
      </x:c>
      <x:c r="B11" s="35" t="inlineStr">
        <x:is>
          <x:t xml:space="preserve"> =SUM(月薪) 比 =SUM(E2:E100) 容易理解</x:t>
        </x:is>
      </x:c>
      <x:c r="C11" s="2" t="n"/>
      <x:c r="D11" s="3" t="n"/>
    </x:row>
    <x:row r="12" s="113" customFormat="1" ht="24" customHeight="1">
      <x:c r="A12" s="6" t="inlineStr">
        <x:is>
          <x:t xml:space="preserve">全域可用</x:t>
        </x:is>
      </x:c>
      <x:c r="B12" s="7" t="inlineStr">
        <x:is>
          <x:t xml:space="preserve">任何工作表都可以使用同一個名稱</x:t>
        </x:is>
      </x:c>
      <x:c r="C12" s="2" t="n"/>
      <x:c r="D12" s="3" t="n"/>
    </x:row>
    <x:row r="13" s="113" customFormat="1" ht="24" customHeight="1">
      <x:c r="A13" s="6" t="inlineStr">
        <x:is>
          <x:t xml:space="preserve">資料驗證</x:t>
        </x:is>
      </x:c>
      <x:c r="B13" s="7" t="inlineStr">
        <x:is>
          <x:t xml:space="preserve">下拉選單的來源可以用命名範圍</x:t>
        </x:is>
      </x:c>
      <x:c r="C13" s="2" t="n"/>
      <x:c r="D13" s="3" t="n"/>
    </x:row>
    <x:row r="14" s="113" customFormat="1" ht="24" customHeight="1">
      <x:c r="A14" s="6" t="inlineStr">
        <x:is>
          <x:t xml:space="preserve">搭配 INDIRECT</x:t>
        </x:is>
      </x:c>
      <x:c r="B14" s="35" t="inlineStr">
        <x:is>
          <x:t xml:space="preserve"> =INDIRECT(A1) 把文字轉成命名範圍的參照</x:t>
        </x:is>
      </x:c>
      <x:c r="C14" s="2" t="n"/>
      <x:c r="D14" s="3" t="n"/>
    </x:row>
    <x:row r="16" s="113" customFormat="1" ht="21.75" customHeight="1">
      <x:c r="A16" s="5" t="inlineStr">
        <x:is>
          <x:t xml:space="preserve">📊 表格功能（⌘+T）</x:t>
        </x:is>
      </x:c>
      <x:c r="B16" s="2" t="n"/>
      <x:c r="C16" s="2" t="n"/>
      <x:c r="D16" s="3" t="n"/>
    </x:row>
    <x:row r="17" s="113" customFormat="1" ht="24" customHeight="1">
      <x:c r="A17" s="6" t="inlineStr">
        <x:is>
          <x:t xml:space="preserve">建立</x:t>
        </x:is>
      </x:c>
      <x:c r="B17" s="7" t="inlineStr">
        <x:is>
          <x:t xml:space="preserve">選取資料 → ⌘+T → 確認範圍</x:t>
        </x:is>
      </x:c>
      <x:c r="C17" s="3" t="n"/>
      <x:c r="D17" s="8" t="inlineStr">
        <x:is>
          <x:t xml:space="preserve">自動加上篩選、格式、結構化參照</x:t>
        </x:is>
      </x:c>
    </x:row>
    <x:row r="18" s="113" customFormat="1" ht="24" customHeight="1">
      <x:c r="A18" s="6" t="inlineStr">
        <x:is>
          <x:t xml:space="preserve">結構化參照</x:t>
        </x:is>
      </x:c>
      <x:c r="B18" s="35" t="inlineStr">
        <x:is>
          <x:t xml:space="preserve"> =SUM(銷售表[金額]) 而非 =SUM(E2:E100))</x:t>
        </x:is>
      </x:c>
      <x:c r="C18" s="3" t="n"/>
      <x:c r="D18" s="8" t="inlineStr">
        <x:is>
          <x:t xml:space="preserve">公式自動參照整欄，超好讀</x:t>
        </x:is>
      </x:c>
    </x:row>
    <x:row r="19" s="113" customFormat="1" ht="24" customHeight="1">
      <x:c r="A19" s="6" t="inlineStr">
        <x:is>
          <x:t xml:space="preserve">自動擴展</x:t>
        </x:is>
      </x:c>
      <x:c r="B19" s="7" t="inlineStr">
        <x:is>
          <x:t xml:space="preserve">在最下方新增資料 → 表格自動包含新列</x:t>
        </x:is>
      </x:c>
      <x:c r="C19" s="3" t="n"/>
      <x:c r="D19" s="8" t="inlineStr">
        <x:is>
          <x:t xml:space="preserve">公式、圖表、樞紐全部自動更新</x:t>
        </x:is>
      </x:c>
    </x:row>
    <x:row r="20" s="113" customFormat="1" ht="24" customHeight="1">
      <x:c r="A20" s="6" t="inlineStr">
        <x:is>
          <x:t xml:space="preserve">彙總列</x:t>
        </x:is>
      </x:c>
      <x:c r="B20" s="7" t="inlineStr">
        <x:is>
          <x:t xml:space="preserve">表格設計 → 勾選「彙總列」→ 自動加總/平均/計數</x:t>
        </x:is>
      </x:c>
      <x:c r="C20" s="3" t="n"/>
      <x:c r="D20" s="8" t="inlineStr">
        <x:is>
          <x:t xml:space="preserve">一鍵加上合計列</x:t>
        </x:is>
      </x:c>
    </x:row>
    <x:row r="21" s="113" customFormat="1" ht="24" customHeight="1">
      <x:c r="A21" s="6" t="inlineStr">
        <x:is>
          <x:t xml:space="preserve">去除重複</x:t>
        </x:is>
      </x:c>
      <x:c r="B21" s="7" t="inlineStr">
        <x:is>
          <x:t xml:space="preserve">表格設計 → 移除重複項</x:t>
        </x:is>
      </x:c>
      <x:c r="C21" s="3" t="n"/>
      <x:c r="D21" s="8" t="inlineStr">
        <x:is>
          <x:t xml:space="preserve">快速去重</x:t>
        </x:is>
      </x:c>
    </x:row>
    <x:row r="23" s="113" customFormat="1" ht="21.75" customHeight="1">
      <x:c r="A23" s="5" t="inlineStr">
        <x:is>
          <x:t xml:space="preserve">⚠️ 表格 vs 一般範圍</x:t>
        </x:is>
      </x:c>
      <x:c r="B23" s="2" t="n"/>
      <x:c r="C23" s="2" t="n"/>
      <x:c r="D23" s="3" t="n"/>
    </x:row>
    <x:row r="24" s="113" customFormat="1" ht="24" customHeight="1">
      <x:c r="A24" s="6" t="inlineStr">
        <x:is>
          <x:t xml:space="preserve">建議</x:t>
        </x:is>
      </x:c>
      <x:c r="B24" s="7" t="inlineStr">
        <x:is>
          <x:t xml:space="preserve">所有資料都應該先轉表格，再做分析</x:t>
        </x:is>
      </x:c>
      <x:c r="C24" s="2" t="n"/>
      <x:c r="D24" s="3" t="n"/>
    </x:row>
    <x:row r="25" s="113" customFormat="1" ht="24" customHeight="1">
      <x:c r="A25" s="6" t="inlineStr">
        <x:is>
          <x:t xml:space="preserve">限制</x:t>
        </x:is>
      </x:c>
      <x:c r="B25" s="7" t="inlineStr">
        <x:is>
          <x:t xml:space="preserve">表格不能跨工作表合併，不能有合併儲存格</x:t>
        </x:is>
      </x:c>
      <x:c r="C25" s="2" t="n"/>
      <x:c r="D25" s="3" t="n"/>
    </x:row>
    <x:row r="26" s="113" customFormat="1" ht="24" customHeight="1">
      <x:c r="A26" s="6" t="inlineStr">
        <x:is>
          <x:t xml:space="preserve">命名</x:t>
        </x:is>
      </x:c>
      <x:c r="B26" s="7" t="inlineStr">
        <x:is>
          <x:t xml:space="preserve">建立表格後在「表格設計」改名為有意義的名稱</x:t>
        </x:is>
      </x:c>
      <x:c r="C26" s="2" t="n"/>
      <x:c r="D26" s="3" t="n"/>
    </x:row>
    <x:row r="29" s="113" customFormat="1" ht="30" customHeight="1">
      <x:c r="A29" s="10" t="inlineStr">
        <x:is>
          <x:t xml:space="preserve">🎯 動手練習（做完打 ✓，難度漸進！）</x:t>
        </x:is>
      </x:c>
      <x:c r="B29" s="11" t="n"/>
      <x:c r="C29" s="11" t="n"/>
      <x:c r="D29" s="12" t="n"/>
    </x:row>
    <x:row r="30" s="113" customFormat="1" ht="15.199999809265137" customHeight="1">
      <x:c r="A30" s="13" t="inlineStr">
        <x:is>
          <x:t xml:space="preserve">#</x:t>
        </x:is>
      </x:c>
      <x:c r="B30" s="13" t="inlineStr">
        <x:is>
          <x:t xml:space="preserve">✓</x:t>
        </x:is>
      </x:c>
      <x:c r="C30" s="13" t="inlineStr">
        <x:is>
          <x:t xml:space="preserve">難度</x:t>
        </x:is>
      </x:c>
      <x:c r="D30" s="13" t="inlineStr">
        <x:is>
          <x:t xml:space="preserve">任務描述</x:t>
        </x:is>
      </x:c>
    </x:row>
    <x:row r="31" s="113" customFormat="1" ht="36" customHeight="1">
      <x:c r="A31" s="14" t="n">
        <x:v>1</x:v>
      </x:c>
      <x:c r="B31" s="15" t="inlineStr">
        <x:is>
          <x:t xml:space="preserve">□</x:t>
        </x:is>
      </x:c>
      <x:c r="C31" s="16" t="inlineStr">
        <x:is>
          <x:t xml:space="preserve">🟢 暖身</x:t>
        </x:is>
      </x:c>
      <x:c r="D31" s="17" t="inlineStr">
        <x:is>
          <x:t xml:space="preserve">在「📊 基礎函式」選取業績資料的金額欄 → 在名稱方塊輸入「月薪」→ 測試 =SUM(月薪)</x:t>
        </x:is>
      </x:c>
    </x:row>
    <x:row r="32" s="113" customFormat="1" ht="36" customHeight="1">
      <x:c r="A32" s="14" t="n">
        <x:v>2</x:v>
      </x:c>
      <x:c r="B32" s="15" t="inlineStr">
        <x:is>
          <x:t xml:space="preserve">□</x:t>
        </x:is>
      </x:c>
      <x:c r="C32" s="16" t="inlineStr">
        <x:is>
          <x:t xml:space="preserve">🟢 暖身</x:t>
        </x:is>
      </x:c>
      <x:c r="D32" s="17" t="inlineStr">
        <x:is>
          <x:t xml:space="preserve">選取任意資料範圍 → ⌘+T 轉為表格 → 觀察公式欄自動變成結構化參照</x:t>
        </x:is>
      </x:c>
    </x:row>
    <x:row r="33" s="113" customFormat="1" ht="36" customHeight="1">
      <x:c r="A33" s="18" t="n">
        <x:v>3</x:v>
      </x:c>
      <x:c r="B33" s="19" t="inlineStr">
        <x:is>
          <x:t xml:space="preserve">□</x:t>
        </x:is>
      </x:c>
      <x:c r="C33" s="20" t="inlineStr">
        <x:is>
          <x:t xml:space="preserve">🔵 標準</x:t>
        </x:is>
      </x:c>
      <x:c r="D33" s="21" t="inlineStr">
        <x:is>
          <x:t xml:space="preserve">用 ⌘+⇧+F3 → 依選取範圍的欄標題自動建立多個命名範圍 → 公式→名稱管理員檢查</x:t>
        </x:is>
      </x:c>
    </x:row>
    <x:row r="34" s="113" customFormat="1" ht="36" customHeight="1">
      <x:c r="A34" s="18" t="n">
        <x:v>4</x:v>
      </x:c>
      <x:c r="B34" s="19" t="inlineStr">
        <x:is>
          <x:t xml:space="preserve">□</x:t>
        </x:is>
      </x:c>
      <x:c r="C34" s="20" t="inlineStr">
        <x:is>
          <x:t xml:space="preserve">🔵 標準</x:t>
        </x:is>
      </x:c>
      <x:c r="D34" s="21" t="inlineStr">
        <x:is>
          <x:t xml:space="preserve">在表格中新增一列資料 → 觀察公式和範圍是否自動擴展</x:t>
        </x:is>
      </x:c>
    </x:row>
    <x:row r="35" s="113" customFormat="1" ht="36" customHeight="1">
      <x:c r="A35" s="22" t="n">
        <x:v>5</x:v>
      </x:c>
      <x:c r="B35" s="23" t="inlineStr">
        <x:is>
          <x:t xml:space="preserve">□</x:t>
        </x:is>
      </x:c>
      <x:c r="C35" s="24" t="inlineStr">
        <x:is>
          <x:t xml:space="preserve">🟡 變化</x:t>
        </x:is>
      </x:c>
      <x:c r="D35" s="25" t="inlineStr">
        <x:is>
          <x:t xml:space="preserve">寫出結構化參照公式：=SUMIFS(銷售表[金額], 銷售表[區域], "北區")</x:t>
        </x:is>
      </x:c>
    </x:row>
    <x:row r="36" s="113" customFormat="1" ht="36" customHeight="1">
      <x:c r="A36" s="22" t="n">
        <x:v>6</x:v>
      </x:c>
      <x:c r="B36" s="23" t="inlineStr">
        <x:is>
          <x:t xml:space="preserve">□</x:t>
        </x:is>
      </x:c>
      <x:c r="C36" s="24" t="inlineStr">
        <x:is>
          <x:t xml:space="preserve">🟡 變化</x:t>
        </x:is>
      </x:c>
      <x:c r="D36" s="25" t="inlineStr">
        <x:is>
          <x:t xml:space="preserve">用 @ 符號：在表格內某列寫 =[@金額]*1.1 → 觀察公式自動填充到整欄</x:t>
        </x:is>
      </x:c>
    </x:row>
    <x:row r="37" s="113" customFormat="1" ht="36" customHeight="1">
      <x:c r="A37" s="26" t="n">
        <x:v>7</x:v>
      </x:c>
      <x:c r="B37" s="27" t="inlineStr">
        <x:is>
          <x:t xml:space="preserve">□</x:t>
        </x:is>
      </x:c>
      <x:c r="C37" s="28" t="inlineStr">
        <x:is>
          <x:t xml:space="preserve">🔴 挑戰</x:t>
        </x:is>
      </x:c>
      <x:c r="D37" s="29" t="inlineStr">
        <x:is>
          <x:t xml:space="preserve">建立動態命名範圍：公式→定義名稱→參照用 OFFSET+COUNTA 讓範圍隨資料自動增長</x:t>
        </x:is>
      </x:c>
    </x:row>
    <x:row r="38" s="113" customFormat="1" ht="36" customHeight="1">
      <x:c r="A38" s="26" t="n">
        <x:v>8</x:v>
      </x:c>
      <x:c r="B38" s="27" t="inlineStr">
        <x:is>
          <x:t xml:space="preserve">□</x:t>
        </x:is>
      </x:c>
      <x:c r="C38" s="28" t="inlineStr">
        <x:is>
          <x:t xml:space="preserve">🔴 挑戰</x:t>
        </x:is>
      </x:c>
      <x:c r="D38" s="29" t="inlineStr">
        <x:is>
          <x:t xml:space="preserve">用命名範圍做表格間的跨表引用：Sheet2 的公式直接用名稱而非 Sheet1!A1:A10</x:t>
        </x:is>
      </x:c>
    </x:row>
  </x:sheetData>
  <x:mergeCells>
    <x:mergeCell ref="B11:D11"/>
    <x:mergeCell ref="A23:D23"/>
    <x:mergeCell ref="B14:D14"/>
    <x:mergeCell ref="B7:C7"/>
    <x:mergeCell ref="A4:D4"/>
    <x:mergeCell ref="A29:D29"/>
    <x:mergeCell ref="B13:D13"/>
    <x:mergeCell ref="B18:C18"/>
    <x:mergeCell ref="A10:D10"/>
    <x:mergeCell ref="B21:C21"/>
    <x:mergeCell ref="B17:C17"/>
    <x:mergeCell ref="B8:C8"/>
    <x:mergeCell ref="B24:D24"/>
    <x:mergeCell ref="A1:D1"/>
    <x:mergeCell ref="B19:C19"/>
    <x:mergeCell ref="B26:D26"/>
    <x:mergeCell ref="A16:D16"/>
    <x:mergeCell ref="B25:D25"/>
    <x:mergeCell ref="B6:C6"/>
    <x:mergeCell ref="B5:C5"/>
    <x:mergeCell ref="B20:C20"/>
    <x:mergeCell ref="A2:D2"/>
    <x:mergeCell ref="B12:D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0" t="inlineStr">
        <x:is>
          <x:t xml:space="preserve">🛡️ 保護與安全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難度：🔵 Lv.2  |  防止誤改、保護公式、控制權限</x:t>
        </x:is>
      </x:c>
    </x:row>
    <x:row r="4" s="113" customFormat="1" ht="21.75" customHeight="1">
      <x:c r="A4" s="5" t="inlineStr">
        <x:is>
          <x:t xml:space="preserve">📌 三層保護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儲存格鎖定</x:t>
        </x:is>
      </x:c>
      <x:c r="B5" s="7" t="inlineStr">
        <x:is>
          <x:t xml:space="preserve">選取要「允許」編輯的儲存格 → 右鍵 → 儲存格格式 → 保護 tab → 取消「鎖定」</x:t>
        </x:is>
      </x:c>
      <x:c r="C5" s="3" t="n"/>
      <x:c r="D5" s="8" t="inlineStr">
        <x:is>
          <x:t xml:space="preserve">預設所有儲存格都是鎖定的，保護工作表後才生效</x:t>
        </x:is>
      </x:c>
    </x:row>
    <x:row r="6" s="113" customFormat="1" ht="24" customHeight="1">
      <x:c r="A6" s="6" t="inlineStr">
        <x:is>
          <x:t xml:space="preserve">工作表保護</x:t>
        </x:is>
      </x:c>
      <x:c r="B6" s="7" t="inlineStr">
        <x:is>
          <x:t xml:space="preserve">校閱 → 保護工作表 → 設密碼 → 勾選允許的操作</x:t>
        </x:is>
      </x:c>
      <x:c r="C6" s="3" t="n"/>
      <x:c r="D6" s="8" t="inlineStr">
        <x:is>
          <x:t xml:space="preserve">保護公式不被修改，但允許輸入資料</x:t>
        </x:is>
      </x:c>
    </x:row>
    <x:row r="7" s="113" customFormat="1" ht="24" customHeight="1">
      <x:c r="A7" s="6" t="inlineStr">
        <x:is>
          <x:t xml:space="preserve">活頁簿保護</x:t>
        </x:is>
      </x:c>
      <x:c r="B7" s="7" t="inlineStr">
        <x:is>
          <x:t xml:space="preserve">校閱 → 保護活頁簿結構 → 設密碼</x:t>
        </x:is>
      </x:c>
      <x:c r="C7" s="3" t="n"/>
      <x:c r="D7" s="8" t="inlineStr">
        <x:is>
          <x:t xml:space="preserve">防止新增/刪除/重新命名工作表</x:t>
        </x:is>
      </x:c>
    </x:row>
    <x:row r="9" s="113" customFormat="1" ht="21.75" customHeight="1">
      <x:c r="A9" s="5" t="inlineStr">
        <x:is>
          <x:t xml:space="preserve">🔧 常見保護情境</x:t>
        </x:is>
      </x:c>
      <x:c r="B9" s="2" t="n"/>
      <x:c r="C9" s="2" t="n"/>
      <x:c r="D9" s="3" t="n"/>
    </x:row>
    <x:row r="10" s="113" customFormat="1" ht="24" customHeight="1">
      <x:c r="A10" s="6" t="inlineStr">
        <x:is>
          <x:t xml:space="preserve">保護公式，開放輸入</x:t>
        </x:is>
      </x:c>
      <x:c r="B10" s="7" t="inlineStr">
        <x:is>
          <x:t xml:space="preserve">把輸入格取消鎖定 → 保護工作表</x:t>
        </x:is>
      </x:c>
      <x:c r="C10" s="3" t="n"/>
      <x:c r="D10" s="8" t="inlineStr">
        <x:is>
          <x:t xml:space="preserve">最常見的需求</x:t>
        </x:is>
      </x:c>
    </x:row>
    <x:row r="11" s="113" customFormat="1" ht="24" customHeight="1">
      <x:c r="A11" s="6" t="inlineStr">
        <x:is>
          <x:t xml:space="preserve">隱藏公式</x:t>
        </x:is>
      </x:c>
      <x:c r="B11" s="7" t="inlineStr">
        <x:is>
          <x:t xml:space="preserve">儲存格格式 → 保護 tab → 勾「隱藏」→ 保護工作表</x:t>
        </x:is>
      </x:c>
      <x:c r="C11" s="3" t="n"/>
      <x:c r="D11" s="8" t="inlineStr">
        <x:is>
          <x:t xml:space="preserve">公式欄不會顯示公式內容</x:t>
        </x:is>
      </x:c>
    </x:row>
    <x:row r="12" s="113" customFormat="1" ht="24" customHeight="1">
      <x:c r="A12" s="6" t="inlineStr">
        <x:is>
          <x:t xml:space="preserve">允許特定範圍</x:t>
        </x:is>
      </x:c>
      <x:c r="B12" s="7" t="inlineStr">
        <x:is>
          <x:t xml:space="preserve">校閱 → 允許使用者編輯範圍 → 為不同範圍設不同密碼</x:t>
        </x:is>
      </x:c>
      <x:c r="C12" s="3" t="n"/>
      <x:c r="D12" s="8" t="inlineStr">
        <x:is>
          <x:t xml:space="preserve">不同人可以編輯不同區域</x:t>
        </x:is>
      </x:c>
    </x:row>
    <x:row r="13" s="113" customFormat="1" ht="24" customHeight="1">
      <x:c r="A13" s="6" t="inlineStr">
        <x:is>
          <x:t xml:space="preserve">防止複製</x:t>
        </x:is>
      </x:c>
      <x:c r="B13" s="7" t="inlineStr">
        <x:is>
          <x:t xml:space="preserve">保護工作表 → 不勾「選取鎖定的儲存格」</x:t>
        </x:is>
      </x:c>
      <x:c r="C13" s="3" t="n"/>
      <x:c r="D13" s="8" t="inlineStr">
        <x:is>
          <x:t xml:space="preserve">完全無法選取=無法複製</x:t>
        </x:is>
      </x:c>
    </x:row>
    <x:row r="15" s="113" customFormat="1" ht="21.75" customHeight="1">
      <x:c r="A15" s="5" t="inlineStr">
        <x:is>
          <x:t xml:space="preserve">🔒 檔案安全</x:t>
        </x:is>
      </x:c>
      <x:c r="B15" s="2" t="n"/>
      <x:c r="C15" s="2" t="n"/>
      <x:c r="D15" s="3" t="n"/>
    </x:row>
    <x:row r="16" s="113" customFormat="1" ht="24" customHeight="1">
      <x:c r="A16" s="6" t="inlineStr">
        <x:is>
          <x:t xml:space="preserve">開啟密碼</x:t>
        </x:is>
      </x:c>
      <x:c r="B16" s="7" t="inlineStr">
        <x:is>
          <x:t xml:space="preserve">檔案 → 另存新檔 → 工具 → 一般選項 → 開啟密碼</x:t>
        </x:is>
      </x:c>
      <x:c r="C16" s="3" t="n"/>
      <x:c r="D16" s="8" t="inlineStr">
        <x:is>
          <x:t xml:space="preserve">沒密碼打不開檔案</x:t>
        </x:is>
      </x:c>
    </x:row>
    <x:row r="17" s="113" customFormat="1" ht="24" customHeight="1">
      <x:c r="A17" s="6" t="inlineStr">
        <x:is>
          <x:t xml:space="preserve">修改密碼</x:t>
        </x:is>
      </x:c>
      <x:c r="B17" s="7" t="inlineStr">
        <x:is>
          <x:t xml:space="preserve">同上 → 修改密碼</x:t>
        </x:is>
      </x:c>
      <x:c r="C17" s="3" t="n"/>
      <x:c r="D17" s="8" t="inlineStr">
        <x:is>
          <x:t xml:space="preserve">可以開啟但不能修改</x:t>
        </x:is>
      </x:c>
    </x:row>
    <x:row r="18" s="113" customFormat="1" ht="24" customHeight="1">
      <x:c r="A18" s="6" t="inlineStr">
        <x:is>
          <x:t xml:space="preserve">標示為完稿</x:t>
        </x:is>
      </x:c>
      <x:c r="B18" s="7" t="inlineStr">
        <x:is>
          <x:t xml:space="preserve">檔案 → 資訊 → 保護活頁簿 → 標示為完稿</x:t>
        </x:is>
      </x:c>
      <x:c r="C18" s="3" t="n"/>
      <x:c r="D18" s="8" t="inlineStr">
        <x:is>
          <x:t xml:space="preserve">提示性保護，可解除</x:t>
        </x:is>
      </x:c>
    </x:row>
    <x:row r="19" s="113" customFormat="1" ht="24" customHeight="1">
      <x:c r="A19" s="6" t="inlineStr">
        <x:is>
          <x:t xml:space="preserve">數位簽章</x:t>
        </x:is>
      </x:c>
      <x:c r="B19" s="7" t="inlineStr">
        <x:is>
          <x:t xml:space="preserve">檔案 → 資訊 → 保護活頁簿 → 新增數位簽章</x:t>
        </x:is>
      </x:c>
      <x:c r="C19" s="3" t="n"/>
      <x:c r="D19" s="8" t="inlineStr">
        <x:is>
          <x:t xml:space="preserve">驗證檔案來源和完整性</x:t>
        </x:is>
      </x:c>
    </x:row>
    <x:row r="21" s="113" customFormat="1" ht="21.75" customHeight="1">
      <x:c r="A21" s="5" t="inlineStr">
        <x:is>
          <x:t xml:space="preserve">⚠️ 重要提醒</x:t>
        </x:is>
      </x:c>
      <x:c r="B21" s="2" t="n"/>
      <x:c r="C21" s="2" t="n"/>
      <x:c r="D21" s="3" t="n"/>
    </x:row>
    <x:row r="22" s="113" customFormat="1" ht="24" customHeight="1">
      <x:c r="A22" s="9" t="inlineStr">
        <x:is>
          <x:t xml:space="preserve">Excel 密碼不安全</x:t>
        </x:is>
      </x:c>
      <x:c r="B22" s="7" t="inlineStr">
        <x:is>
          <x:t xml:space="preserve">工作表保護密碼很容易被破解，不要當成真正的安全措施</x:t>
        </x:is>
      </x:c>
      <x:c r="C22" s="2" t="n"/>
      <x:c r="D22" s="3" t="n"/>
    </x:row>
    <x:row r="23" s="113" customFormat="1" ht="24" customHeight="1">
      <x:c r="A23" s="6" t="inlineStr">
        <x:is>
          <x:t xml:space="preserve">備份</x:t>
        </x:is>
      </x:c>
      <x:c r="B23" s="7" t="inlineStr">
        <x:is>
          <x:t xml:space="preserve">保護前一定要留備份，忘記密碼就打不開了</x:t>
        </x:is>
      </x:c>
      <x:c r="C23" s="2" t="n"/>
      <x:c r="D23" s="3" t="n"/>
    </x:row>
    <x:row r="24" s="113" customFormat="1" ht="24" customHeight="1">
      <x:c r="A24" s="9" t="inlineStr">
        <x:is>
          <x:t xml:space="preserve">VBA 可繞過</x:t>
        </x:is>
      </x:c>
      <x:c r="B24" s="31" t="inlineStr">
        <x:is>
          <x:t xml:space="preserve">VBA 可以解除工作表保護，真正安全需要開啟密碼</x:t>
        </x:is>
      </x:c>
      <x:c r="C24" s="2" t="n"/>
      <x:c r="D24" s="3" t="n"/>
    </x:row>
    <x:row r="27" s="113" customFormat="1" ht="30" customHeight="1">
      <x:c r="A27" s="10" t="inlineStr">
        <x:is>
          <x:t xml:space="preserve">🎯 動手練習（做完打 ✓，難度漸進！）</x:t>
        </x:is>
      </x:c>
      <x:c r="B27" s="11" t="n"/>
      <x:c r="C27" s="11" t="n"/>
      <x:c r="D27" s="12" t="n"/>
    </x:row>
    <x:row r="28" s="113" customFormat="1" ht="15.199999809265137" customHeight="1">
      <x:c r="A28" s="13" t="inlineStr">
        <x:is>
          <x:t xml:space="preserve">#</x:t>
        </x:is>
      </x:c>
      <x:c r="B28" s="13" t="inlineStr">
        <x:is>
          <x:t xml:space="preserve">✓</x:t>
        </x:is>
      </x:c>
      <x:c r="C28" s="13" t="inlineStr">
        <x:is>
          <x:t xml:space="preserve">難度</x:t>
        </x:is>
      </x:c>
      <x:c r="D28" s="13" t="inlineStr">
        <x:is>
          <x:t xml:space="preserve">任務描述</x:t>
        </x:is>
      </x:c>
    </x:row>
    <x:row r="29" s="113" customFormat="1" ht="36" customHeight="1">
      <x:c r="A29" s="14" t="n">
        <x:v>1</x:v>
      </x:c>
      <x:c r="B29" s="15" t="inlineStr">
        <x:is>
          <x:t xml:space="preserve">□</x:t>
        </x:is>
      </x:c>
      <x:c r="C29" s="16" t="inlineStr">
        <x:is>
          <x:t xml:space="preserve">🟢 暖身</x:t>
        </x:is>
      </x:c>
      <x:c r="D29" s="17" t="inlineStr">
        <x:is>
          <x:t xml:space="preserve">選取要讓使用者編輯的儲存格 → 右鍵 → 儲存格格式 → 保護 → 取消「鎖定」</x:t>
        </x:is>
      </x:c>
    </x:row>
    <x:row r="30" s="113" customFormat="1" ht="36" customHeight="1">
      <x:c r="A30" s="14" t="n">
        <x:v>2</x:v>
      </x:c>
      <x:c r="B30" s="15" t="inlineStr">
        <x:is>
          <x:t xml:space="preserve">□</x:t>
        </x:is>
      </x:c>
      <x:c r="C30" s="16" t="inlineStr">
        <x:is>
          <x:t xml:space="preserve">🟢 暖身</x:t>
        </x:is>
      </x:c>
      <x:c r="D30" s="17" t="inlineStr">
        <x:is>
          <x:t xml:space="preserve">校閱 → 保護工作表 → 設一個簡單密碼 → 測試：公式格不能改，輸入格可以改</x:t>
        </x:is>
      </x:c>
    </x:row>
    <x:row r="31" s="113" customFormat="1" ht="36" customHeight="1">
      <x:c r="A31" s="18" t="n">
        <x:v>3</x:v>
      </x:c>
      <x:c r="B31" s="19" t="inlineStr">
        <x:is>
          <x:t xml:space="preserve">□</x:t>
        </x:is>
      </x:c>
      <x:c r="C31" s="20" t="inlineStr">
        <x:is>
          <x:t xml:space="preserve">🔵 標準</x:t>
        </x:is>
      </x:c>
      <x:c r="D31" s="21" t="inlineStr">
        <x:is>
          <x:t xml:space="preserve">選取含公式的儲存格 → 勾選「隱藏」→ 再保護工作表 → 觀察公式欄是否顯示空白</x:t>
        </x:is>
      </x:c>
    </x:row>
    <x:row r="32" s="113" customFormat="1" ht="36" customHeight="1">
      <x:c r="A32" s="18" t="n">
        <x:v>4</x:v>
      </x:c>
      <x:c r="B32" s="19" t="inlineStr">
        <x:is>
          <x:t xml:space="preserve">□</x:t>
        </x:is>
      </x:c>
      <x:c r="C32" s="20" t="inlineStr">
        <x:is>
          <x:t xml:space="preserve">🔵 標準</x:t>
        </x:is>
      </x:c>
      <x:c r="D32" s="21" t="inlineStr">
        <x:is>
          <x:t xml:space="preserve">校閱 → 保護活頁簿結構 → 測試：嘗試新增/刪除工作表，應該被擋住</x:t>
        </x:is>
      </x:c>
    </x:row>
    <x:row r="33" s="113" customFormat="1" ht="36" customHeight="1">
      <x:c r="A33" s="22" t="n">
        <x:v>5</x:v>
      </x:c>
      <x:c r="B33" s="23" t="inlineStr">
        <x:is>
          <x:t xml:space="preserve">□</x:t>
        </x:is>
      </x:c>
      <x:c r="C33" s="24" t="inlineStr">
        <x:is>
          <x:t xml:space="preserve">🟡 變化</x:t>
        </x:is>
      </x:c>
      <x:c r="D33" s="25" t="inlineStr">
        <x:is>
          <x:t xml:space="preserve">取消保護 → 重新設定：允許排序和篩選，但不允許修改格式和插入欄列</x:t>
        </x:is>
      </x:c>
    </x:row>
    <x:row r="34" s="113" customFormat="1" ht="36" customHeight="1">
      <x:c r="A34" s="22" t="n">
        <x:v>6</x:v>
      </x:c>
      <x:c r="B34" s="23" t="inlineStr">
        <x:is>
          <x:t xml:space="preserve">□</x:t>
        </x:is>
      </x:c>
      <x:c r="C34" s="24" t="inlineStr">
        <x:is>
          <x:t xml:space="preserve">🟡 變化</x:t>
        </x:is>
      </x:c>
      <x:c r="D34" s="25" t="inlineStr">
        <x:is>
          <x:t xml:space="preserve">檔案 → 另存新檔 → 工具 → 一般選項 → 設定「開啟密碼」和「修改密碼」</x:t>
        </x:is>
      </x:c>
    </x:row>
    <x:row r="35" s="113" customFormat="1" ht="36" customHeight="1">
      <x:c r="A35" s="26" t="n">
        <x:v>7</x:v>
      </x:c>
      <x:c r="B35" s="27" t="inlineStr">
        <x:is>
          <x:t xml:space="preserve">□</x:t>
        </x:is>
      </x:c>
      <x:c r="C35" s="26" t="inlineStr">
        <x:is>
          <x:t xml:space="preserve">🔴 挑戰</x:t>
        </x:is>
      </x:c>
      <x:c r="D35" s="29" t="inlineStr">
        <x:is>
          <x:t xml:space="preserve">綜合保護：建立一張「客戶填寫用」的表格，公式全鎖定+隱藏，輸入格解鎖，設下拉選單，保護工作表。測試別人能不能正常填寫又不能改公式</x:t>
        </x:is>
      </x:c>
    </x:row>
    <x:row r="36" s="113" customFormat="1" ht="36" customHeight="1">
      <x:c r="A36" s="26" t="n">
        <x:v>8</x:v>
      </x:c>
      <x:c r="B36" s="27" t="inlineStr">
        <x:is>
          <x:t xml:space="preserve">□</x:t>
        </x:is>
      </x:c>
      <x:c r="C36" s="26" t="inlineStr">
        <x:is>
          <x:t xml:space="preserve">🔴 挑戰</x:t>
        </x:is>
      </x:c>
      <x:c r="D36" s="29" t="inlineStr">
        <x:is>
          <x:t xml:space="preserve">搭配 VBA 保護：用 VBA 在開啟檔案時自動保護工作表，關閉時解除保護（Workbook_Open / BeforeClose 事件）</x:t>
        </x:is>
      </x:c>
    </x:row>
  </x:sheetData>
  <x:mergeCells>
    <x:mergeCell ref="B16:C16"/>
    <x:mergeCell ref="B7:C7"/>
    <x:mergeCell ref="B23:D23"/>
    <x:mergeCell ref="A4:D4"/>
    <x:mergeCell ref="B18:C18"/>
    <x:mergeCell ref="B12:C12"/>
    <x:mergeCell ref="A9:D9"/>
    <x:mergeCell ref="B11:C11"/>
    <x:mergeCell ref="A15:D15"/>
    <x:mergeCell ref="B17:C17"/>
    <x:mergeCell ref="B24:D24"/>
    <x:mergeCell ref="B13:C13"/>
    <x:mergeCell ref="A1:D1"/>
    <x:mergeCell ref="B19:C19"/>
    <x:mergeCell ref="B10:C10"/>
    <x:mergeCell ref="B6:C6"/>
    <x:mergeCell ref="A27:D27"/>
    <x:mergeCell ref="B5:C5"/>
    <x:mergeCell ref="B22:D22"/>
    <x:mergeCell ref="A21:D2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8" style="113" customWidth="1"/>
    <x:col min="2" max="2" width="8" style="113" customWidth="1"/>
    <x:col min="3" max="3" width="40" style="113" customWidth="1"/>
    <x:col min="4" max="4" width="35" style="113" customWidth="1"/>
    <x:col min="5" max="5" width="14" style="113" customWidth="1"/>
    <x:col min="6" max="6" width="30" style="113" customWidth="1"/>
    <x:col min="8" max="8" width="13" style="113" customWidth="1"/>
  </x:cols>
  <x:sheetData>
    <x:row r="1">
      <x:c r="A1" s="220" t="inlineStr">
        <x:is>
          <x:t xml:space="preserve">🔢 陣列與動態函式 — SORT / FILTER / UNIQUE</x:t>
        </x:is>
      </x:c>
      <x:c r="G1" s="221" t="n"/>
      <x:c r="H1" s="221" t="n"/>
    </x:row>
    <x:row r="2">
      <x:c r="A2" s="222" t="inlineStr">
        <x:is>
          <x:t xml:space="preserve">在黃色邊框儲存格輸入公式 → 答對變綠 ✅ | 答錯變紅 ❌ | F欄提示選取可見</x:t>
        </x:is>
      </x:c>
      <x:c r="G2" s="221" t="n"/>
      <x:c r="H2" s="221" t="n"/>
    </x:row>
    <x:row r="3">
      <x:c r="A3" s="221" t="n"/>
      <x:c r="B3" s="221" t="n"/>
      <x:c r="C3" s="221" t="n"/>
      <x:c r="D3" s="221" t="n"/>
      <x:c r="E3" s="221" t="n"/>
      <x:c r="F3" s="221" t="n"/>
      <x:c r="G3" s="221" t="n"/>
      <x:c r="H3" s="221" t="n"/>
    </x:row>
    <x:row r="4">
      <x:c r="A4" s="223" t="inlineStr">
        <x:is>
          <x:t xml:space="preserve">📋 練習資料</x:t>
        </x:is>
      </x:c>
      <x:c r="F4" s="221" t="n"/>
      <x:c r="G4" s="221" t="n"/>
      <x:c r="H4" s="221" t="n"/>
    </x:row>
    <x:row r="5">
      <x:c r="A5" s="224" t="inlineStr">
        <x:is>
          <x:t xml:space="preserve">產品</x:t>
        </x:is>
      </x:c>
      <x:c r="B5" s="224" t="inlineStr">
        <x:is>
          <x:t xml:space="preserve">類別</x:t>
        </x:is>
      </x:c>
      <x:c r="C5" s="224" t="inlineStr">
        <x:is>
          <x:t xml:space="preserve">單價</x:t>
        </x:is>
      </x:c>
      <x:c r="D5" s="224" t="inlineStr">
        <x:is>
          <x:t xml:space="preserve">銷量</x:t>
        </x:is>
      </x:c>
      <x:c r="E5" s="224" t="inlineStr">
        <x:is>
          <x:t xml:space="preserve">評分</x:t>
        </x:is>
      </x:c>
      <x:c r="F5" s="221" t="n"/>
      <x:c r="G5" s="221" t="n"/>
      <x:c r="H5" s="221" t="n"/>
    </x:row>
    <x:row r="6">
      <x:c r="A6" s="225" t="inlineStr">
        <x:is>
          <x:t xml:space="preserve">無線滑鼠</x:t>
        </x:is>
      </x:c>
      <x:c r="B6" s="225" t="inlineStr">
        <x:is>
          <x:t xml:space="preserve">周邊</x:t>
        </x:is>
      </x:c>
      <x:c r="C6" s="225" t="n">
        <x:v>590</x:v>
      </x:c>
      <x:c r="D6" s="225" t="n">
        <x:v>120</x:v>
      </x:c>
      <x:c r="E6" s="225" t="n">
        <x:v>4.5</x:v>
      </x:c>
      <x:c r="F6" s="221" t="n"/>
      <x:c r="G6" s="221" t="n"/>
      <x:c r="H6" s="221" t="n"/>
    </x:row>
    <x:row r="7">
      <x:c r="A7" s="225" t="inlineStr">
        <x:is>
          <x:t xml:space="preserve">機械鍵盤</x:t>
        </x:is>
      </x:c>
      <x:c r="B7" s="225" t="inlineStr">
        <x:is>
          <x:t xml:space="preserve">周邊</x:t>
        </x:is>
      </x:c>
      <x:c r="C7" s="225" t="n">
        <x:v>2200</x:v>
      </x:c>
      <x:c r="D7" s="225" t="n">
        <x:v>45</x:v>
      </x:c>
      <x:c r="E7" s="225" t="n">
        <x:v>4.8</x:v>
      </x:c>
      <x:c r="F7" s="221" t="n"/>
      <x:c r="G7" s="221" t="n"/>
      <x:c r="H7" s="221" t="n"/>
    </x:row>
    <x:row r="8">
      <x:c r="A8" s="225" t="inlineStr">
        <x:is>
          <x:t xml:space="preserve">27吋螢幕</x:t>
        </x:is>
      </x:c>
      <x:c r="B8" s="225" t="inlineStr">
        <x:is>
          <x:t xml:space="preserve">顯示</x:t>
        </x:is>
      </x:c>
      <x:c r="C8" s="225" t="n">
        <x:v>8900</x:v>
      </x:c>
      <x:c r="D8" s="225" t="n">
        <x:v>18</x:v>
      </x:c>
      <x:c r="E8" s="225" t="n">
        <x:v>4.7</x:v>
      </x:c>
      <x:c r="F8" s="221" t="n"/>
      <x:c r="G8" s="221" t="n"/>
      <x:c r="H8" s="221" t="n"/>
    </x:row>
    <x:row r="9">
      <x:c r="A9" s="225" t="inlineStr">
        <x:is>
          <x:t xml:space="preserve">網路攝影機</x:t>
        </x:is>
      </x:c>
      <x:c r="B9" s="225" t="inlineStr">
        <x:is>
          <x:t xml:space="preserve">周邊</x:t>
        </x:is>
      </x:c>
      <x:c r="C9" s="225" t="n">
        <x:v>1500</x:v>
      </x:c>
      <x:c r="D9" s="225" t="n">
        <x:v>67</x:v>
      </x:c>
      <x:c r="E9" s="225" t="n">
        <x:v>4.2</x:v>
      </x:c>
      <x:c r="F9" s="221" t="n"/>
      <x:c r="G9" s="221" t="n"/>
      <x:c r="H9" s="221" t="n"/>
    </x:row>
    <x:row r="10">
      <x:c r="A10" s="225" t="inlineStr">
        <x:is>
          <x:t xml:space="preserve">USB集線器</x:t>
        </x:is>
      </x:c>
      <x:c r="B10" s="225" t="inlineStr">
        <x:is>
          <x:t xml:space="preserve">配件</x:t>
        </x:is>
      </x:c>
      <x:c r="C10" s="225" t="n">
        <x:v>450</x:v>
      </x:c>
      <x:c r="D10" s="225" t="n">
        <x:v>200</x:v>
      </x:c>
      <x:c r="E10" s="225" t="n">
        <x:v>4</x:v>
      </x:c>
      <x:c r="F10" s="221" t="n"/>
      <x:c r="G10" s="221" t="n"/>
      <x:c r="H10" s="221" t="n"/>
    </x:row>
    <x:row r="11">
      <x:c r="A11" s="225" t="inlineStr">
        <x:is>
          <x:t xml:space="preserve">外接硬碟</x:t>
        </x:is>
      </x:c>
      <x:c r="B11" s="225" t="inlineStr">
        <x:is>
          <x:t xml:space="preserve">儲存</x:t>
        </x:is>
      </x:c>
      <x:c r="C11" s="225" t="n">
        <x:v>2800</x:v>
      </x:c>
      <x:c r="D11" s="225" t="n">
        <x:v>32</x:v>
      </x:c>
      <x:c r="E11" s="225" t="n">
        <x:v>4.6</x:v>
      </x:c>
      <x:c r="F11" s="221" t="n"/>
      <x:c r="G11" s="221" t="n"/>
      <x:c r="H11" s="221" t="n"/>
    </x:row>
    <x:row r="12">
      <x:c r="A12" s="225" t="inlineStr">
        <x:is>
          <x:t xml:space="preserve">藍牙喇叭</x:t>
        </x:is>
      </x:c>
      <x:c r="B12" s="225" t="inlineStr">
        <x:is>
          <x:t xml:space="preserve">周邊</x:t>
        </x:is>
      </x:c>
      <x:c r="C12" s="225" t="n">
        <x:v>1200</x:v>
      </x:c>
      <x:c r="D12" s="225" t="n">
        <x:v>85</x:v>
      </x:c>
      <x:c r="E12" s="225" t="n">
        <x:v>4.3</x:v>
      </x:c>
      <x:c r="F12" s="221" t="n"/>
      <x:c r="G12" s="221" t="n"/>
      <x:c r="H12" s="221" t="n"/>
    </x:row>
    <x:row r="13">
      <x:c r="A13" s="225" t="inlineStr">
        <x:is>
          <x:t xml:space="preserve">行動電源</x:t>
        </x:is>
      </x:c>
      <x:c r="B13" s="225" t="inlineStr">
        <x:is>
          <x:t xml:space="preserve">配件</x:t>
        </x:is>
      </x:c>
      <x:c r="C13" s="225" t="n">
        <x:v>680</x:v>
      </x:c>
      <x:c r="D13" s="225" t="n">
        <x:v>150</x:v>
      </x:c>
      <x:c r="E13" s="225" t="n">
        <x:v>4.1</x:v>
      </x:c>
      <x:c r="F13" s="221" t="n"/>
      <x:c r="G13" s="221" t="n"/>
      <x:c r="H13" s="221" t="n"/>
    </x:row>
    <x:row r="14">
      <x:c r="A14" s="221" t="n"/>
      <x:c r="B14" s="221" t="n"/>
      <x:c r="C14" s="221" t="n"/>
      <x:c r="D14" s="221" t="n"/>
      <x:c r="E14" s="221" t="n"/>
      <x:c r="F14" s="221" t="n"/>
      <x:c r="G14" s="221" t="n"/>
      <x:c r="H14" s="221" t="n"/>
    </x:row>
    <x:row r="15">
      <x:c r="A15" s="221" t="n"/>
      <x:c r="B15" s="221" t="n"/>
      <x:c r="C15" s="221" t="n"/>
      <x:c r="D15" s="221" t="n"/>
      <x:c r="E15" s="221" t="n"/>
      <x:c r="F15" s="221" t="n"/>
      <x:c r="G15" s="221" t="n"/>
      <x:c r="H15" s="221" t="n"/>
    </x:row>
    <x:row r="16">
      <x:c r="A16" s="223" t="inlineStr">
        <x:is>
          <x:t xml:space="preserve">🎯 練習題</x:t>
        </x:is>
      </x:c>
      <x:c r="G16" s="221" t="n"/>
      <x:c r="H16" s="221" t="n"/>
    </x:row>
    <x:row r="17">
      <x:c r="A17" s="226" t="inlineStr">
        <x:is>
          <x:t xml:space="preserve">難度</x:t>
        </x:is>
      </x:c>
      <x:c r="B17" s="226" t="inlineStr">
        <x:is>
          <x:t xml:space="preserve">題號</x:t>
        </x:is>
      </x:c>
      <x:c r="C17" s="226" t="inlineStr">
        <x:is>
          <x:t xml:space="preserve">任務描述</x:t>
        </x:is>
      </x:c>
      <x:c r="D17" s="226" t="inlineStr">
        <x:is>
          <x:t xml:space="preserve">你的答案 ▼</x:t>
        </x:is>
      </x:c>
      <x:c r="E17" s="226" t="inlineStr">
        <x:is>
          <x:t xml:space="preserve">結果</x:t>
        </x:is>
      </x:c>
      <x:c r="F17" s="226" t="inlineStr">
        <x:is>
          <x:t xml:space="preserve">提示（反白可見）</x:t>
        </x:is>
      </x:c>
      <x:c r="G17" s="221" t="n"/>
      <x:c r="H17" s="221" t="n"/>
    </x:row>
    <x:row r="18">
      <x:c r="A18" s="227" t="inlineStr">
        <x:is>
          <x:t xml:space="preserve">🟢</x:t>
        </x:is>
      </x:c>
      <x:c r="B18" s="225" t="n">
        <x:v>1</x:v>
      </x:c>
      <x:c r="C18" s="225" t="inlineStr">
        <x:is>
          <x:t xml:space="preserve">計算所有產品的營收總和（單價×銷量 的總和）</x:t>
        </x:is>
      </x:c>
      <x:c r="D18" s="228" t="n"/>
      <x:c r="E18" s="225" t="str">
        <x:f>IF(D18="","",IF(ROUND(D18,2)=ROUND(H18,2),"✅ 正確！","❌ 再想想"))</x:f>
      </x:c>
      <x:c r="F18" s="229" t="inlineStr">
        <x:is>
          <x:t xml:space="preserve">SUMPRODUCT(單價欄,銷量欄)</x:t>
        </x:is>
      </x:c>
      <x:c r="G18" s="221" t="n"/>
      <x:c r="H18" s="216" t="n">
        <x:f>SUMPRODUCT(C6:C13,D6:D13)</x:f>
        <x:v>814100</x:v>
      </x:c>
    </x:row>
    <x:row r="19">
      <x:c r="A19" s="227" t="inlineStr">
        <x:is>
          <x:t xml:space="preserve">🟢</x:t>
        </x:is>
      </x:c>
      <x:c r="B19" s="225" t="n">
        <x:v>2</x:v>
      </x:c>
      <x:c r="C19" s="225" t="inlineStr">
        <x:is>
          <x:t xml:space="preserve">列出不重複的類別清單（第一個）</x:t>
        </x:is>
      </x:c>
      <x:c r="D19" s="228" t="n"/>
      <x:c r="E19" s="225" t="str">
        <x:f>IF(D19="","",IF(EXACT(TRIM(D19),TRIM(H19)),"✅ 正確！","❌ 再想想"))</x:f>
      </x:c>
      <x:c r="F19" s="229" t="inlineStr">
        <x:is>
          <x:t xml:space="preserve">UNIQUE(範圍) 動態溢出</x:t>
        </x:is>
      </x:c>
      <x:c r="G19" s="221" t="n"/>
      <x:c r="H19" s="216" t="str" cm="1">
        <x:f t="array" ref="H19:H22">UNIQUE(B6:B13)</x:f>
        <x:v>周邊</x:v>
      </x:c>
    </x:row>
    <x:row r="20">
      <x:c r="A20" s="230" t="inlineStr">
        <x:is>
          <x:t xml:space="preserve">🔵</x:t>
        </x:is>
      </x:c>
      <x:c r="B20" s="225" t="n">
        <x:v>3</x:v>
      </x:c>
      <x:c r="C20" s="225" t="inlineStr">
        <x:is>
          <x:t xml:space="preserve">計算周邊類產品的平均評分</x:t>
        </x:is>
      </x:c>
      <x:c r="D20" s="228" t="n"/>
      <x:c r="E20" s="225" t="str">
        <x:f>IF(D20="","",IF(ROUND(D20,2)=ROUND(H20,2),"✅ 正確！","❌ 再想想"))</x:f>
      </x:c>
      <x:c r="F20" s="229" t="inlineStr">
        <x:is>
          <x:t xml:space="preserve">AVERAGEIF(類別欄,"周邊",評分欄)</x:t>
        </x:is>
      </x:c>
      <x:c r="G20" s="221" t="n"/>
      <x:c r="H20" s="216" t="n">
        <x:v>4.45</x:v>
      </x:c>
    </x:row>
    <x:row r="21">
      <x:c r="A21" s="230" t="inlineStr">
        <x:is>
          <x:t xml:space="preserve">🔵</x:t>
        </x:is>
      </x:c>
      <x:c r="B21" s="225" t="n">
        <x:v>4</x:v>
      </x:c>
      <x:c r="C21" s="225" t="inlineStr">
        <x:is>
          <x:t xml:space="preserve">找出銷量最高的產品名稱</x:t>
        </x:is>
      </x:c>
      <x:c r="D21" s="228" t="n"/>
      <x:c r="E21" s="225" t="str">
        <x:f>IF(D21="","",IF(EXACT(TRIM(D21),TRIM(H21)),"✅ 正確！","❌ 再想想"))</x:f>
      </x:c>
      <x:c r="F21" s="229" t="inlineStr">
        <x:is>
          <x:t xml:space="preserve">INDEX+MATCH+MAX 三層組合</x:t>
        </x:is>
      </x:c>
      <x:c r="G21" s="221" t="n"/>
      <x:c r="H21" s="216" t="str">
        <x:v>USB集線器</x:v>
      </x:c>
    </x:row>
    <x:row r="22">
      <x:c r="A22" s="231" t="inlineStr">
        <x:is>
          <x:t xml:space="preserve">🟡</x:t>
        </x:is>
      </x:c>
      <x:c r="B22" s="225" t="n">
        <x:v>5</x:v>
      </x:c>
      <x:c r="C22" s="225" t="inlineStr">
        <x:is>
          <x:t xml:space="preserve">計算單價超過 1000 的產品數量</x:t>
        </x:is>
      </x:c>
      <x:c r="D22" s="228" t="n"/>
      <x:c r="E22" s="225" t="str">
        <x:f>IF(D22="","",IF(ROUND(D22,2)=ROUND(H22,2),"✅ 正確！","❌ 再想想"))</x:f>
      </x:c>
      <x:c r="F22" s="229" t="inlineStr">
        <x:is>
          <x:t xml:space="preserve">COUNTIF(範圍,"&gt;1000")</x:t>
        </x:is>
      </x:c>
      <x:c r="G22" s="221" t="n"/>
      <x:c r="H22" s="216" t="n">
        <x:v>5</x:v>
      </x:c>
    </x:row>
    <x:row r="23">
      <x:c r="A23" s="231" t="inlineStr">
        <x:is>
          <x:t xml:space="preserve">🟡</x:t>
        </x:is>
      </x:c>
      <x:c r="B23" s="225" t="n">
        <x:v>6</x:v>
      </x:c>
      <x:c r="C23" s="225" t="inlineStr">
        <x:is>
          <x:t xml:space="preserve">用 SUMPRODUCT 計算周邊類的總銷量</x:t>
        </x:is>
      </x:c>
      <x:c r="D23" s="228" t="n"/>
      <x:c r="E23" s="225" t="str">
        <x:f>IF(D23="","",IF(ROUND(D23,2)=ROUND(H23,2),"✅ 正確！","❌ 再想想"))</x:f>
      </x:c>
      <x:c r="F23" s="229" t="inlineStr">
        <x:is>
          <x:t xml:space="preserve">SUMPRODUCT((條件)*數值欄)</x:t>
        </x:is>
      </x:c>
      <x:c r="G23" s="221" t="n"/>
      <x:c r="H23" s="216" t="n">
        <x:f>SUMPRODUCT((B6:B13="周邊")*D6:D13)</x:f>
        <x:v>317</x:v>
      </x:c>
    </x:row>
    <x:row r="24">
      <x:c r="A24" s="232" t="inlineStr">
        <x:is>
          <x:t xml:space="preserve">🔴</x:t>
        </x:is>
      </x:c>
      <x:c r="B24" s="225" t="n">
        <x:v>7</x:v>
      </x:c>
      <x:c r="C24" s="225" t="inlineStr">
        <x:is>
          <x:t xml:space="preserve">計算評分最高的產品單價</x:t>
        </x:is>
      </x:c>
      <x:c r="D24" s="228" t="n"/>
      <x:c r="E24" s="225" t="str">
        <x:f>IF(D24="","",IF(ROUND(D24,2)=ROUND(H24,2),"✅ 正確！","❌ 再想想"))</x:f>
      </x:c>
      <x:c r="F24" s="229" t="inlineStr">
        <x:is>
          <x:t xml:space="preserve">INDEX(單價欄,MATCH(MAX(評分),評分欄,0))</x:t>
        </x:is>
      </x:c>
      <x:c r="G24" s="221" t="n"/>
      <x:c r="H24" s="216" t="n">
        <x:f>INDEX(C6:C13,MATCH(MAX(E6:E13),E6:E13,0))</x:f>
        <x:v>2200</x:v>
      </x:c>
    </x:row>
    <x:row r="25">
      <x:c r="A25" s="232" t="inlineStr">
        <x:is>
          <x:t xml:space="preserve">🔴</x:t>
        </x:is>
      </x:c>
      <x:c r="B25" s="225" t="n">
        <x:v>8</x:v>
      </x:c>
      <x:c r="C25" s="225" t="inlineStr">
        <x:is>
          <x:t xml:space="preserve">計算所有產品的加權平均評分（以銷量為權重）</x:t>
        </x:is>
      </x:c>
      <x:c r="D25" s="228" t="n"/>
      <x:c r="E25" s="225" t="str">
        <x:f>IF(D25="","",IF(ROUND(D25,2)=ROUND(H25,2),"✅ 正確！","❌ 再想想"))</x:f>
      </x:c>
      <x:c r="F25" s="229" t="inlineStr">
        <x:is>
          <x:t xml:space="preserve">SUMPRODUCT(銷量,評分)/SUM(銷量)</x:t>
        </x:is>
      </x:c>
      <x:c r="G25" s="221" t="n"/>
      <x:c r="H25" s="216" t="n">
        <x:f>SUMPRODUCT(D6:D13,E6:E13)/SUM(D6:D13)</x:f>
        <x:v>4.253417015341701</x:v>
      </x:c>
    </x:row>
    <x:row r="26">
      <x:c r="A26" s="221" t="n"/>
      <x:c r="B26" s="221" t="n"/>
      <x:c r="C26" s="221" t="n"/>
      <x:c r="D26" s="221" t="n"/>
      <x:c r="E26" s="221" t="n"/>
      <x:c r="F26" s="221" t="n"/>
      <x:c r="G26" s="221" t="n"/>
      <x:c r="H26" s="221" t="n"/>
    </x:row>
    <x:row r="27">
      <x:c r="A27" s="221" t="n"/>
      <x:c r="B27" s="221" t="n"/>
      <x:c r="C27" s="233" t="inlineStr">
        <x:is>
          <x:t xml:space="preserve">得分：</x:t>
        </x:is>
      </x:c>
      <x:c r="D27" s="234" t="str">
        <x:f>COUNTIF(E19:E26,"✅ 正確！") &amp; " / 8 正確"</x:f>
        <x:v>0 / 8 正確</x:v>
      </x:c>
      <x:c r="E27" s="221" t="n"/>
      <x:c r="F27" s="221" t="n"/>
      <x:c r="G27" s="221" t="n"/>
      <x:c r="H27" s="221" t="n"/>
    </x:row>
    <x:row r="28">
      <x:c r="A28" s="221" t="n"/>
      <x:c r="B28" s="221" t="n"/>
      <x:c r="C28" s="221" t="n"/>
      <x:c r="D28" s="221" t="n"/>
      <x:c r="E28" s="221" t="n"/>
      <x:c r="F28" s="221" t="n"/>
      <x:c r="G28" s="221" t="n"/>
      <x:c r="H28" s="221" t="n"/>
    </x:row>
  </x:sheetData>
  <x:mergeCells>
    <x:mergeCell ref="A1:F1"/>
    <x:mergeCell ref="A16:F16"/>
    <x:mergeCell ref="A2:F2"/>
    <x:mergeCell ref="A4:E4"/>
  </x:mergeCells>
  <x:conditionalFormatting sqref="D18:D18">
    <x:cfRule type="expression" dxfId="17" priority="1">
      <x:formula>AND(D18&lt;&gt;"",ROUND(D18,2)=ROUND(H18,2))</x:formula>
    </x:cfRule>
  </x:conditionalFormatting>
  <x:conditionalFormatting sqref="D19:D19">
    <x:cfRule type="expression" dxfId="17" priority="2">
      <x:formula>AND(D19&lt;&gt;"",EXACT(TRIM(D19),TRIM(H19)))</x:formula>
    </x:cfRule>
  </x:conditionalFormatting>
  <x:conditionalFormatting sqref="D20:D20">
    <x:cfRule type="expression" dxfId="17" priority="3">
      <x:formula>AND(D20&lt;&gt;"",ROUND(D20,2)=ROUND(H20,2))</x:formula>
    </x:cfRule>
  </x:conditionalFormatting>
  <x:conditionalFormatting sqref="D21:D21">
    <x:cfRule type="expression" dxfId="17" priority="4">
      <x:formula>AND(D21&lt;&gt;"",EXACT(TRIM(D21),TRIM(H21)))</x:formula>
    </x:cfRule>
  </x:conditionalFormatting>
  <x:conditionalFormatting sqref="D22:D22">
    <x:cfRule type="expression" dxfId="17" priority="5">
      <x:formula>AND(D22&lt;&gt;"",ROUND(D22,2)=ROUND(H22,2))</x:formula>
    </x:cfRule>
  </x:conditionalFormatting>
  <x:conditionalFormatting sqref="D23:D23">
    <x:cfRule type="expression" dxfId="17" priority="6">
      <x:formula>AND(D23&lt;&gt;"",ROUND(D23,2)=ROUND(H23,2))</x:formula>
    </x:cfRule>
  </x:conditionalFormatting>
  <x:conditionalFormatting sqref="D24:D24">
    <x:cfRule type="expression" dxfId="17" priority="7">
      <x:formula>AND(D24&lt;&gt;"",ROUND(D24,2)=ROUND(H24,2))</x:formula>
    </x:cfRule>
  </x:conditionalFormatting>
  <x:conditionalFormatting sqref="D25:D25">
    <x:cfRule type="expression" dxfId="17" priority="8">
      <x:formula>AND(D25&lt;&gt;"",ROUND(D25,2)=ROUND(H25,2))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4" style="113" customWidth="1"/>
    <x:col min="3" max="3" width="30" style="113" customWidth="1"/>
    <x:col min="4" max="4" width="5" style="113" customWidth="1"/>
    <x:col min="5" max="5" width="32" style="113" customWidth="1"/>
    <x:col min="6" max="6" width="20" style="113" customWidth="1"/>
    <x:col min="7" max="8" width="32" style="113" customWidth="1"/>
  </x:cols>
  <x:sheetData>
    <x:row r="1" s="113" customFormat="1" ht="37.5" customHeight="1">
      <x:c r="A1" s="97" t="inlineStr">
        <x:is>
          <x:t xml:space="preserve">🧮 進階函式  ─  INDIRECT / OFFSET / LET / AGGREGATE / LAMBDA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s="113" customFormat="1" ht="19.5" customHeight="1">
      <x:c r="A2" s="4" t="inlineStr">
        <x:is>
          <x:t xml:space="preserve">難度：🟠 Lv.4  |  微任務數：8 題  |  建議時間：每題 2~3 分鐘</x:t>
        </x:is>
      </x:c>
    </x:row>
    <x:row r="4" s="113" customFormat="1" ht="21.75" customHeight="1">
      <x:c r="A4" s="38" t="inlineStr">
        <x:is>
          <x:t xml:space="preserve">【練習資料】</x:t>
        </x:is>
      </x:c>
      <x:c r="B4" s="2" t="n"/>
      <x:c r="C4" s="2" t="n"/>
      <x:c r="D4" s="2" t="n"/>
      <x:c r="E4" s="2" t="n"/>
    </x:row>
    <x:row r="5" s="113" customFormat="1" ht="21.75" customHeight="1">
      <x:c r="A5" s="39" t="inlineStr">
        <x:is>
          <x:t xml:space="preserve">季度</x:t>
        </x:is>
      </x:c>
      <x:c r="B5" s="46" t="inlineStr">
        <x:is>
          <x:t xml:space="preserve">Q1</x:t>
        </x:is>
      </x:c>
      <x:c r="C5" s="46" t="inlineStr">
        <x:is>
          <x:t xml:space="preserve">Q2</x:t>
        </x:is>
      </x:c>
      <x:c r="D5" s="46" t="inlineStr">
        <x:is>
          <x:t xml:space="preserve">Q3</x:t>
        </x:is>
      </x:c>
      <x:c r="E5" s="46" t="inlineStr">
        <x:is>
          <x:t xml:space="preserve">Q4</x:t>
        </x:is>
      </x:c>
    </x:row>
    <x:row r="6" s="113" customFormat="1" ht="19.5" customHeight="1">
      <x:c r="A6" s="40" t="inlineStr">
        <x:is>
          <x:t xml:space="preserve">2024</x:t>
        </x:is>
      </x:c>
      <x:c r="B6" s="60" t="n">
        <x:v>120000</x:v>
      </x:c>
      <x:c r="C6" s="60" t="n">
        <x:v>135000</x:v>
      </x:c>
      <x:c r="D6" s="60" t="n">
        <x:v>128000</x:v>
      </x:c>
      <x:c r="E6" s="60" t="n">
        <x:v>145000</x:v>
      </x:c>
    </x:row>
    <x:row r="7" s="113" customFormat="1" ht="19.5" customHeight="1">
      <x:c r="A7" s="43" t="inlineStr">
        <x:is>
          <x:t xml:space="preserve">2025</x:t>
        </x:is>
      </x:c>
      <x:c r="B7" s="62" t="n">
        <x:v>150000</x:v>
      </x:c>
      <x:c r="C7" s="62" t="n">
        <x:v>162000</x:v>
      </x:c>
      <x:c r="D7" s="62" t="n">
        <x:v>158000</x:v>
      </x:c>
      <x:c r="E7" s="62" t="n">
        <x:v>175000</x:v>
      </x:c>
    </x:row>
    <x:row r="8" s="113" customFormat="1" ht="19.5" customHeight="1">
      <x:c r="A8" s="40" t="inlineStr">
        <x:is>
          <x:t xml:space="preserve">2026</x:t>
        </x:is>
      </x:c>
      <x:c r="B8" s="60" t="n">
        <x:v>168000</x:v>
      </x:c>
      <x:c r="C8" s="60" t="n">
        <x:v>180000</x:v>
      </x:c>
      <x:c r="D8" s="61" t="n">
        <x:v>0</x:v>
      </x:c>
      <x:c r="E8" s="61" t="n">
        <x:v>0</x:v>
      </x:c>
    </x:row>
    <x:row r="10" s="113" customFormat="1" ht="21.75" customHeight="1">
      <x:c r="A10" s="38" t="inlineStr">
        <x:is>
          <x:t xml:space="preserve">【微任務練習】做完一題打 ✓，黃色=提示，綠色=答案（先別看！）</x:t>
        </x:is>
      </x:c>
      <x:c r="B10" s="2" t="n"/>
      <x:c r="C10" s="2" t="n"/>
      <x:c r="D10" s="2" t="n"/>
      <x:c r="E10" s="2" t="n"/>
      <x:c r="F10" s="2" t="n"/>
      <x:c r="G10" s="2" t="n"/>
      <x:c r="H10" s="2" t="n"/>
    </x:row>
    <x:row r="11" s="113" customFormat="1" ht="21.75" customHeight="1">
      <x:c r="A11" s="46" t="inlineStr">
        <x:is>
          <x:t xml:space="preserve">#</x:t>
        </x:is>
      </x:c>
      <x:c r="B11" s="46" t="inlineStr">
        <x:is>
          <x:t xml:space="preserve">✓</x:t>
        </x:is>
      </x:c>
      <x:c r="C11" s="39" t="inlineStr">
        <x:is>
          <x:t xml:space="preserve">任務描述</x:t>
        </x:is>
      </x:c>
      <x:c r="D11" s="46" t="inlineStr">
        <x:is>
          <x:t xml:space="preserve">⏱</x:t>
        </x:is>
      </x:c>
      <x:c r="E11" s="39" t="inlineStr">
        <x:is>
          <x:t xml:space="preserve">提示</x:t>
        </x:is>
      </x:c>
      <x:c r="F11" s="39" t="inlineStr">
        <x:is>
          <x:t xml:space="preserve">你的答案</x:t>
        </x:is>
      </x:c>
      <x:c r="G11" s="39" t="inlineStr">
        <x:is>
          <x:t xml:space="preserve">參考答案</x:t>
        </x:is>
      </x:c>
      <x:c r="H11" s="39" t="inlineStr">
        <x:is>
          <x:t xml:space="preserve">原理解說</x:t>
        </x:is>
      </x:c>
    </x:row>
    <x:row r="12" s="113" customFormat="1" ht="36" customHeight="1">
      <x:c r="A12" s="98" t="inlineStr">
        <x:is>
          <x:t xml:space="preserve">🟢1</x:t>
        </x:is>
      </x:c>
      <x:c r="B12" s="48" t="inlineStr">
        <x:is>
          <x:t xml:space="preserve">□</x:t>
        </x:is>
      </x:c>
      <x:c r="C12" s="49" t="inlineStr">
        <x:is>
          <x:t xml:space="preserve">用 INDIRECT 動態引用：輸入「B6」的文字取出對應值</x:t>
        </x:is>
      </x:c>
      <x:c r="D12" s="48" t="inlineStr">
        <x:is>
          <x:t xml:space="preserve">3m</x:t>
        </x:is>
      </x:c>
      <x:c r="E12" s="64" t="inlineStr">
        <x:is>
          <x:t xml:space="preserve"> =INDIRECT("B6")</x:t>
        </x:is>
      </x:c>
      <x:c r="F12" s="65" t="n"/>
      <x:c r="G12" s="66" t="inlineStr">
        <x:is>
          <x:t xml:space="preserve"> =INDIRECT("B6")</x:t>
        </x:is>
      </x:c>
      <x:c r="H12" s="67" t="inlineStr">
        <x:is>
          <x:t xml:space="preserve">INDIRECT 把文字轉成儲存格參照</x:t>
        </x:is>
      </x:c>
    </x:row>
    <x:row r="13" s="113" customFormat="1" ht="36" customHeight="1">
      <x:c r="A13" s="98" t="inlineStr">
        <x:is>
          <x:t xml:space="preserve">🟢2</x:t>
        </x:is>
      </x:c>
      <x:c r="B13" s="48" t="inlineStr">
        <x:is>
          <x:t xml:space="preserve">□</x:t>
        </x:is>
      </x:c>
      <x:c r="C13" s="49" t="inlineStr">
        <x:is>
          <x:t xml:space="preserve">用 OFFSET 取得 A6 往右2格往下1格的值</x:t>
        </x:is>
      </x:c>
      <x:c r="D13" s="48" t="inlineStr">
        <x:is>
          <x:t xml:space="preserve">3m</x:t>
        </x:is>
      </x:c>
      <x:c r="E13" s="64" t="inlineStr">
        <x:is>
          <x:t xml:space="preserve"> =OFFSET(A6,1,2)</x:t>
        </x:is>
      </x:c>
      <x:c r="F13" s="65" t="n"/>
      <x:c r="G13" s="66" t="inlineStr">
        <x:is>
          <x:t xml:space="preserve"> =OFFSET(A6,1,2)</x:t>
        </x:is>
      </x:c>
      <x:c r="H13" s="67" t="inlineStr">
        <x:is>
          <x:t xml:space="preserve">OFFSET(基準,下移,右移) 動態偏移</x:t>
        </x:is>
      </x:c>
    </x:row>
    <x:row r="14" s="113" customFormat="1" ht="36" customHeight="1">
      <x:c r="A14" s="99" t="inlineStr">
        <x:is>
          <x:t xml:space="preserve">🔵3</x:t>
        </x:is>
      </x:c>
      <x:c r="B14" s="51" t="inlineStr">
        <x:is>
          <x:t xml:space="preserve">□</x:t>
        </x:is>
      </x:c>
      <x:c r="C14" s="52" t="inlineStr">
        <x:is>
          <x:t xml:space="preserve">用 OFFSET+COUNTA 自動擴展的 SUM 範圍</x:t>
        </x:is>
      </x:c>
      <x:c r="D14" s="51" t="inlineStr">
        <x:is>
          <x:t xml:space="preserve">3m</x:t>
        </x:is>
      </x:c>
      <x:c r="E14" s="68" t="inlineStr">
        <x:is>
          <x:t xml:space="preserve"> =SUM(OFFSET(B6,0,0,COUNTA(A6:A20),1))</x:t>
        </x:is>
      </x:c>
      <x:c r="F14" s="69" t="n"/>
      <x:c r="G14" s="70" t="inlineStr">
        <x:is>
          <x:t xml:space="preserve"> =SUM(OFFSET(B6,0,0,COUNTA(A6:A20),1))</x:t>
        </x:is>
      </x:c>
      <x:c r="H14" s="103" t="inlineStr">
        <x:is>
          <x:t xml:space="preserve">用 COUNTA 計算列數，讓範圍自動增長</x:t>
        </x:is>
      </x:c>
    </x:row>
    <x:row r="15" s="113" customFormat="1" ht="36" customHeight="1">
      <x:c r="A15" s="99" t="inlineStr">
        <x:is>
          <x:t xml:space="preserve">🔵4</x:t>
        </x:is>
      </x:c>
      <x:c r="B15" s="51" t="inlineStr">
        <x:is>
          <x:t xml:space="preserve">□</x:t>
        </x:is>
      </x:c>
      <x:c r="C15" s="52" t="inlineStr">
        <x:is>
          <x:t xml:space="preserve">用 LET 命名變數簡化公式</x:t>
        </x:is>
      </x:c>
      <x:c r="D15" s="51" t="inlineStr">
        <x:is>
          <x:t xml:space="preserve">3m</x:t>
        </x:is>
      </x:c>
      <x:c r="E15" s="68" t="inlineStr">
        <x:is>
          <x:t xml:space="preserve"> =LET(avg,AVERAGE(B6:B8),max,MAX(B6:B8),max-avg)</x:t>
        </x:is>
      </x:c>
      <x:c r="F15" s="69" t="n"/>
      <x:c r="G15" s="70" t="inlineStr">
        <x:is>
          <x:t xml:space="preserve"> =LET(avg,AVERAGE(B6:B8),max,MAX(B6:B8),max-avg)</x:t>
        </x:is>
      </x:c>
      <x:c r="H15" s="71" t="inlineStr">
        <x:is>
          <x:t xml:space="preserve">LET 給中間結果取名，公式更易讀</x:t>
        </x:is>
      </x:c>
    </x:row>
    <x:row r="16" s="113" customFormat="1" ht="36" customHeight="1">
      <x:c r="A16" s="100" t="inlineStr">
        <x:is>
          <x:t xml:space="preserve">🟡5</x:t>
        </x:is>
      </x:c>
      <x:c r="B16" s="54" t="inlineStr">
        <x:is>
          <x:t xml:space="preserve">□</x:t>
        </x:is>
      </x:c>
      <x:c r="C16" s="55" t="inlineStr">
        <x:is>
          <x:t xml:space="preserve">用 AGGREGATE 忽略錯誤值求平均</x:t>
        </x:is>
      </x:c>
      <x:c r="D16" s="54" t="inlineStr">
        <x:is>
          <x:t xml:space="preserve">3m</x:t>
        </x:is>
      </x:c>
      <x:c r="E16" s="72" t="inlineStr">
        <x:is>
          <x:t xml:space="preserve"> =AGGREGATE(1,6,B6:E8)</x:t>
        </x:is>
      </x:c>
      <x:c r="F16" s="73" t="n"/>
      <x:c r="G16" s="74" t="inlineStr">
        <x:is>
          <x:t xml:space="preserve"> =AGGREGATE(1,6,B6:E8)</x:t>
        </x:is>
      </x:c>
      <x:c r="H16" s="75" t="inlineStr">
        <x:is>
          <x:t xml:space="preserve">AGGREGATE(函式碼,選項,範圍) 超強統計函式</x:t>
        </x:is>
      </x:c>
    </x:row>
    <x:row r="17" s="113" customFormat="1" ht="36" customHeight="1">
      <x:c r="A17" s="100" t="inlineStr">
        <x:is>
          <x:t xml:space="preserve">🟡6</x:t>
        </x:is>
      </x:c>
      <x:c r="B17" s="54" t="inlineStr">
        <x:is>
          <x:t xml:space="preserve">□</x:t>
        </x:is>
      </x:c>
      <x:c r="C17" s="55" t="inlineStr">
        <x:is>
          <x:t xml:space="preserve">用 CHOOSE 根據數字選月份名稱</x:t>
        </x:is>
      </x:c>
      <x:c r="D17" s="54" t="inlineStr">
        <x:is>
          <x:t xml:space="preserve">2m</x:t>
        </x:is>
      </x:c>
      <x:c r="E17" s="72" t="inlineStr">
        <x:is>
          <x:t xml:space="preserve"> =CHOOSE(2,"一月","二月","三月")</x:t>
        </x:is>
      </x:c>
      <x:c r="F17" s="73" t="n"/>
      <x:c r="G17" s="74" t="inlineStr">
        <x:is>
          <x:t xml:space="preserve"> =CHOOSE(2,"一月","二月","三月")</x:t>
        </x:is>
      </x:c>
      <x:c r="H17" s="75" t="inlineStr">
        <x:is>
          <x:t xml:space="preserve">CHOOSE(索引,值1,值2,...) 按編號選</x:t>
        </x:is>
      </x:c>
    </x:row>
    <x:row r="18" s="113" customFormat="1" ht="36" customHeight="1">
      <x:c r="A18" s="101" t="inlineStr">
        <x:is>
          <x:t xml:space="preserve">🔴7</x:t>
        </x:is>
      </x:c>
      <x:c r="B18" s="58" t="inlineStr">
        <x:is>
          <x:t xml:space="preserve">□</x:t>
        </x:is>
      </x:c>
      <x:c r="C18" s="102" t="inlineStr">
        <x:is>
          <x:t xml:space="preserve">用 SWITCH 把部門代碼轉名稱（1=業務,2=財務,3=資訊）</x:t>
        </x:is>
      </x:c>
      <x:c r="D18" s="58" t="inlineStr">
        <x:is>
          <x:t xml:space="preserve">2m</x:t>
        </x:is>
      </x:c>
      <x:c r="E18" s="78" t="inlineStr">
        <x:is>
          <x:t xml:space="preserve"> =SWITCH(1,1,"業務",2,"財務",3,"資訊","未知")</x:t>
        </x:is>
      </x:c>
      <x:c r="F18" s="79" t="n"/>
      <x:c r="G18" s="80" t="inlineStr">
        <x:is>
          <x:t xml:space="preserve"> =SWITCH(1,1,"業務",2,"財務",3,"資訊","未知")</x:t>
        </x:is>
      </x:c>
      <x:c r="H18" s="104" t="inlineStr">
        <x:is>
          <x:t xml:space="preserve">SWITCH 比巢狀 IF 乾淨很多</x:t>
        </x:is>
      </x:c>
    </x:row>
    <x:row r="19" s="113" customFormat="1" ht="36" customHeight="1">
      <x:c r="A19" s="101" t="inlineStr">
        <x:is>
          <x:t xml:space="preserve">🔴8</x:t>
        </x:is>
      </x:c>
      <x:c r="B19" s="58" t="inlineStr">
        <x:is>
          <x:t xml:space="preserve">□</x:t>
        </x:is>
      </x:c>
      <x:c r="C19" s="102" t="inlineStr">
        <x:is>
          <x:t xml:space="preserve">用 LAMBDA 建立自訂函式：華氏轉攝氏</x:t>
        </x:is>
      </x:c>
      <x:c r="D19" s="58" t="inlineStr">
        <x:is>
          <x:t xml:space="preserve">3m</x:t>
        </x:is>
      </x:c>
      <x:c r="E19" s="78" t="inlineStr">
        <x:is>
          <x:t xml:space="preserve"> =LAMBDA(f,(f-32)*5/9)(100)</x:t>
        </x:is>
      </x:c>
      <x:c r="F19" s="79" t="n"/>
      <x:c r="G19" s="80" t="inlineStr">
        <x:is>
          <x:t xml:space="preserve"> =LAMBDA(f,(f-32)*5/9)(100)</x:t>
        </x:is>
      </x:c>
      <x:c r="H19" s="104" t="inlineStr">
        <x:is>
          <x:t xml:space="preserve">LAMBDA 建立可重用的自訂函式（365）</x:t>
        </x:is>
      </x:c>
    </x:row>
  </x:sheetData>
  <x:mergeCells>
    <x:mergeCell ref="A1:H1"/>
    <x:mergeCell ref="A2:H2"/>
    <x:mergeCell ref="A4:E4"/>
    <x:mergeCell ref="A10:H1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1" t="inlineStr">
        <x:is>
          <x:t xml:space="preserve">🧩 假設分析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難度：🟠 Lv.4  |  商業決策的分析工具  |  資料 → 假設分析</x:t>
        </x:is>
      </x:c>
    </x:row>
    <x:row r="4" s="113" customFormat="1" ht="21.75" customHeight="1">
      <x:c r="A4" s="5" t="inlineStr">
        <x:is>
          <x:t xml:space="preserve">📌 三大工具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目標搜尋 (Goal Seek)</x:t>
        </x:is>
      </x:c>
      <x:c r="B5" s="7" t="inlineStr">
        <x:is>
          <x:t xml:space="preserve">已知結果，反推輸入值</x:t>
        </x:is>
      </x:c>
      <x:c r="C5" s="7" t="inlineStr">
        <x:is>
          <x:t xml:space="preserve">例：利潤要達 100 萬，售價應為多少？</x:t>
        </x:is>
      </x:c>
      <x:c r="D5" s="8" t="inlineStr">
        <x:is>
          <x:t xml:space="preserve">資料 → 假設分析 → 目標搜尋</x:t>
        </x:is>
      </x:c>
    </x:row>
    <x:row r="6" s="113" customFormat="1" ht="24" customHeight="1">
      <x:c r="A6" s="6" t="inlineStr">
        <x:is>
          <x:t xml:space="preserve">資料表 (Data Table)</x:t>
        </x:is>
      </x:c>
      <x:c r="B6" s="7" t="inlineStr">
        <x:is>
          <x:t xml:space="preserve">一次看多個假設情境的結果</x:t>
        </x:is>
      </x:c>
      <x:c r="C6" s="7" t="inlineStr">
        <x:is>
          <x:t xml:space="preserve">例：不同利率 × 不同年期的月付款</x:t>
        </x:is>
      </x:c>
      <x:c r="D6" s="8" t="inlineStr">
        <x:is>
          <x:t xml:space="preserve">資料 → 假設分析 → 資料表</x:t>
        </x:is>
      </x:c>
    </x:row>
    <x:row r="7" s="113" customFormat="1" ht="24" customHeight="1">
      <x:c r="A7" s="6" t="inlineStr">
        <x:is>
          <x:t xml:space="preserve">分析藍本 (Scenario Manager)</x:t>
        </x:is>
      </x:c>
      <x:c r="B7" s="7" t="inlineStr">
        <x:is>
          <x:t xml:space="preserve">儲存多組假設值，隨時切換</x:t>
        </x:is>
      </x:c>
      <x:c r="C7" s="7" t="inlineStr">
        <x:is>
          <x:t xml:space="preserve">例：樂觀/中性/悲觀三種情境</x:t>
        </x:is>
      </x:c>
      <x:c r="D7" s="8" t="inlineStr">
        <x:is>
          <x:t xml:space="preserve">資料 → 假設分析 → 分析藍本管理員</x:t>
        </x:is>
      </x:c>
    </x:row>
    <x:row r="9" s="113" customFormat="1" ht="21.75" customHeight="1">
      <x:c r="A9" s="5" t="inlineStr">
        <x:is>
          <x:t xml:space="preserve">🔧 目標搜尋 (Goal Seek)</x:t>
        </x:is>
      </x:c>
      <x:c r="B9" s="2" t="n"/>
      <x:c r="C9" s="2" t="n"/>
      <x:c r="D9" s="3" t="n"/>
    </x:row>
    <x:row r="10" s="113" customFormat="1" ht="24" customHeight="1">
      <x:c r="A10" s="9" t="inlineStr">
        <x:is>
          <x:t xml:space="preserve">Step 1</x:t>
        </x:is>
      </x:c>
      <x:c r="B10" s="7" t="inlineStr">
        <x:is>
          <x:t xml:space="preserve">在某個儲存格設好公式（如：=售價×數量-成本）</x:t>
        </x:is>
      </x:c>
      <x:c r="C10" s="2" t="n"/>
      <x:c r="D10" s="3" t="n"/>
    </x:row>
    <x:row r="11" s="113" customFormat="1" ht="24" customHeight="1">
      <x:c r="A11" s="9" t="inlineStr">
        <x:is>
          <x:t xml:space="preserve">Step 2</x:t>
        </x:is>
      </x:c>
      <x:c r="B11" s="7" t="inlineStr">
        <x:is>
          <x:t xml:space="preserve">資料 → 假設分析 → 目標搜尋</x:t>
        </x:is>
      </x:c>
      <x:c r="C11" s="2" t="n"/>
      <x:c r="D11" s="3" t="n"/>
    </x:row>
    <x:row r="12" s="113" customFormat="1" ht="24" customHeight="1">
      <x:c r="A12" s="9" t="inlineStr">
        <x:is>
          <x:t xml:space="preserve">Step 3</x:t>
        </x:is>
      </x:c>
      <x:c r="B12" s="7" t="inlineStr">
        <x:is>
          <x:t xml:space="preserve">目標儲存格=利潤格、目標值=1000000、變更儲存格=售價格</x:t>
        </x:is>
      </x:c>
      <x:c r="C12" s="2" t="n"/>
      <x:c r="D12" s="3" t="n"/>
    </x:row>
    <x:row r="13" s="113" customFormat="1" ht="24" customHeight="1">
      <x:c r="A13" s="6" t="inlineStr">
        <x:is>
          <x:t xml:space="preserve">用途</x:t>
        </x:is>
      </x:c>
      <x:c r="B13" s="7" t="inlineStr">
        <x:is>
          <x:t xml:space="preserve">反推損益兩平、目標達成所需的數值</x:t>
        </x:is>
      </x:c>
      <x:c r="C13" s="2" t="n"/>
      <x:c r="D13" s="3" t="n"/>
    </x:row>
    <x:row r="15" s="113" customFormat="1" ht="21.75" customHeight="1">
      <x:c r="A15" s="5" t="inlineStr">
        <x:is>
          <x:t xml:space="preserve">📊 單/雙變數資料表</x:t>
        </x:is>
      </x:c>
      <x:c r="B15" s="2" t="n"/>
      <x:c r="C15" s="2" t="n"/>
      <x:c r="D15" s="3" t="n"/>
    </x:row>
    <x:row r="16" s="113" customFormat="1" ht="24" customHeight="1">
      <x:c r="A16" s="6" t="inlineStr">
        <x:is>
          <x:t xml:space="preserve">單變數</x:t>
        </x:is>
      </x:c>
      <x:c r="B16" s="7" t="inlineStr">
        <x:is>
          <x:t xml:space="preserve">一個輸入值（如利率）變化 → 看結果如何變</x:t>
        </x:is>
      </x:c>
      <x:c r="C16" s="2" t="n"/>
      <x:c r="D16" s="3" t="n"/>
    </x:row>
    <x:row r="17" s="113" customFormat="1" ht="24" customHeight="1">
      <x:c r="A17" s="6" t="inlineStr">
        <x:is>
          <x:t xml:space="preserve">雙變數</x:t>
        </x:is>
      </x:c>
      <x:c r="B17" s="7" t="inlineStr">
        <x:is>
          <x:t xml:space="preserve">兩個輸入值同時變化 → 矩陣式呈現</x:t>
        </x:is>
      </x:c>
      <x:c r="C17" s="2" t="n"/>
      <x:c r="D17" s="3" t="n"/>
    </x:row>
    <x:row r="18" s="113" customFormat="1" ht="24" customHeight="1">
      <x:c r="A18" s="6" t="inlineStr">
        <x:is>
          <x:t xml:space="preserve">操作</x:t>
        </x:is>
      </x:c>
      <x:c r="B18" s="7" t="inlineStr">
        <x:is>
          <x:t xml:space="preserve">左欄或上列放假設值 → 交叉格放結果公式 → 資料 → 資料表</x:t>
        </x:is>
      </x:c>
      <x:c r="C18" s="2" t="n"/>
      <x:c r="D18" s="3" t="n"/>
    </x:row>
    <x:row r="19" s="113" customFormat="1" ht="24" customHeight="1">
      <x:c r="A19" s="6" t="inlineStr">
        <x:is>
          <x:t xml:space="preserve">用途</x:t>
        </x:is>
      </x:c>
      <x:c r="B19" s="7" t="inlineStr">
        <x:is>
          <x:t xml:space="preserve">敏感度分析、定價策略、貸款試算</x:t>
        </x:is>
      </x:c>
      <x:c r="C19" s="2" t="n"/>
      <x:c r="D19" s="3" t="n"/>
    </x:row>
    <x:row r="21" s="113" customFormat="1" ht="21.75" customHeight="1">
      <x:c r="A21" s="5" t="inlineStr">
        <x:is>
          <x:t xml:space="preserve">🧮 規劃求解 (Solver)</x:t>
        </x:is>
      </x:c>
      <x:c r="B21" s="2" t="n"/>
      <x:c r="C21" s="2" t="n"/>
      <x:c r="D21" s="3" t="n"/>
    </x:row>
    <x:row r="22" s="113" customFormat="1" ht="24" customHeight="1">
      <x:c r="A22" s="6" t="inlineStr">
        <x:is>
          <x:t xml:space="preserve">什麼是</x:t>
        </x:is>
      </x:c>
      <x:c r="B22" s="7" t="inlineStr">
        <x:is>
          <x:t xml:space="preserve">最佳化工具：在限制條件下找出最佳解</x:t>
        </x:is>
      </x:c>
      <x:c r="C22" s="2" t="n"/>
      <x:c r="D22" s="3" t="n"/>
    </x:row>
    <x:row r="23" s="113" customFormat="1" ht="24" customHeight="1">
      <x:c r="A23" s="6" t="inlineStr">
        <x:is>
          <x:t xml:space="preserve">啟用</x:t>
        </x:is>
      </x:c>
      <x:c r="B23" s="7" t="inlineStr">
        <x:is>
          <x:t xml:space="preserve">檔案 → 選項 → 增益集 → 規劃求解 → 啟用</x:t>
        </x:is>
      </x:c>
      <x:c r="C23" s="2" t="n"/>
      <x:c r="D23" s="3" t="n"/>
    </x:row>
    <x:row r="24" s="113" customFormat="1" ht="24" customHeight="1">
      <x:c r="A24" s="6" t="inlineStr">
        <x:is>
          <x:t xml:space="preserve">用途</x:t>
        </x:is>
      </x:c>
      <x:c r="B24" s="7" t="inlineStr">
        <x:is>
          <x:t xml:space="preserve">最大化利潤、最小化成本、資源分配最佳化</x:t>
        </x:is>
      </x:c>
      <x:c r="C24" s="2" t="n"/>
      <x:c r="D24" s="3" t="n"/>
    </x:row>
    <x:row r="25" s="113" customFormat="1" ht="24" customHeight="1">
      <x:c r="A25" s="6" t="inlineStr">
        <x:is>
          <x:t xml:space="preserve">設定</x:t>
        </x:is>
      </x:c>
      <x:c r="B25" s="7" t="inlineStr">
        <x:is>
          <x:t xml:space="preserve">目標儲存格 + 可變動儲存格 + 限制條件</x:t>
        </x:is>
      </x:c>
      <x:c r="C25" s="2" t="n"/>
      <x:c r="D25" s="3" t="n"/>
    </x:row>
    <x:row r="28" s="113" customFormat="1" ht="30" customHeight="1">
      <x:c r="A28" s="10" t="inlineStr">
        <x:is>
          <x:t xml:space="preserve">🎯 動手練習（做完打 ✓，難度漸進！）</x:t>
        </x:is>
      </x:c>
      <x:c r="B28" s="11" t="n"/>
      <x:c r="C28" s="11" t="n"/>
      <x:c r="D28" s="12" t="n"/>
    </x:row>
    <x:row r="29" s="113" customFormat="1" ht="15.199999809265137" customHeight="1">
      <x:c r="A29" s="13" t="inlineStr">
        <x:is>
          <x:t xml:space="preserve">#</x:t>
        </x:is>
      </x:c>
      <x:c r="B29" s="13" t="inlineStr">
        <x:is>
          <x:t xml:space="preserve">✓</x:t>
        </x:is>
      </x:c>
      <x:c r="C29" s="13" t="inlineStr">
        <x:is>
          <x:t xml:space="preserve">難度</x:t>
        </x:is>
      </x:c>
      <x:c r="D29" s="13" t="inlineStr">
        <x:is>
          <x:t xml:space="preserve">任務描述</x:t>
        </x:is>
      </x:c>
    </x:row>
    <x:row r="30" s="113" customFormat="1" ht="36" customHeight="1">
      <x:c r="A30" s="14" t="n">
        <x:v>1</x:v>
      </x:c>
      <x:c r="B30" s="15" t="inlineStr">
        <x:is>
          <x:t xml:space="preserve">□</x:t>
        </x:is>
      </x:c>
      <x:c r="C30" s="16" t="inlineStr">
        <x:is>
          <x:t xml:space="preserve">🟢 暖身</x:t>
        </x:is>
      </x:c>
      <x:c r="D30" s="17" t="inlineStr">
        <x:is>
          <x:t xml:space="preserve">建立一個簡單公式：利潤 = 售價 × 數量 - 成本。然後手動改售價觀察利潤變化</x:t>
        </x:is>
      </x:c>
    </x:row>
    <x:row r="31" s="113" customFormat="1" ht="36" customHeight="1">
      <x:c r="A31" s="14" t="n">
        <x:v>2</x:v>
      </x:c>
      <x:c r="B31" s="15" t="inlineStr">
        <x:is>
          <x:t xml:space="preserve">□</x:t>
        </x:is>
      </x:c>
      <x:c r="C31" s="16" t="inlineStr">
        <x:is>
          <x:t xml:space="preserve">🟢 暖身</x:t>
        </x:is>
      </x:c>
      <x:c r="D31" s="17" t="inlineStr">
        <x:is>
          <x:t xml:space="preserve">資料 → 假設分析 → 目標搜尋：讓利潤 = 100000，變更售價 → 看 Excel 反推出多少</x:t>
        </x:is>
      </x:c>
    </x:row>
    <x:row r="32" s="113" customFormat="1" ht="36" customHeight="1">
      <x:c r="A32" s="18" t="n">
        <x:v>3</x:v>
      </x:c>
      <x:c r="B32" s="19" t="inlineStr">
        <x:is>
          <x:t xml:space="preserve">□</x:t>
        </x:is>
      </x:c>
      <x:c r="C32" s="20" t="inlineStr">
        <x:is>
          <x:t xml:space="preserve">🔵 標準</x:t>
        </x:is>
      </x:c>
      <x:c r="D32" s="21" t="inlineStr">
        <x:is>
          <x:t xml:space="preserve">建立單變數資料表：左欄放 5 種不同利率 → 看每種利率下的月付款金額</x:t>
        </x:is>
      </x:c>
    </x:row>
    <x:row r="33" s="113" customFormat="1" ht="36" customHeight="1">
      <x:c r="A33" s="18" t="n">
        <x:v>4</x:v>
      </x:c>
      <x:c r="B33" s="19" t="inlineStr">
        <x:is>
          <x:t xml:space="preserve">□</x:t>
        </x:is>
      </x:c>
      <x:c r="C33" s="20" t="inlineStr">
        <x:is>
          <x:t xml:space="preserve">🔵 標準</x:t>
        </x:is>
      </x:c>
      <x:c r="D33" s="21" t="inlineStr">
        <x:is>
          <x:t xml:space="preserve">資料 → 假設分析 → 分析藍本：建立「樂觀/中性/悲觀」三種情境並切換觀察</x:t>
        </x:is>
      </x:c>
    </x:row>
    <x:row r="34" s="113" customFormat="1" ht="36" customHeight="1">
      <x:c r="A34" s="22" t="n">
        <x:v>5</x:v>
      </x:c>
      <x:c r="B34" s="23" t="inlineStr">
        <x:is>
          <x:t xml:space="preserve">□</x:t>
        </x:is>
      </x:c>
      <x:c r="C34" s="24" t="inlineStr">
        <x:is>
          <x:t xml:space="preserve">🟡 變化</x:t>
        </x:is>
      </x:c>
      <x:c r="D34" s="25" t="inlineStr">
        <x:is>
          <x:t xml:space="preserve">建立雙變數資料表：左欄=利率（3%~7%），上列=年期（10~30年）→ 交叉矩陣</x:t>
        </x:is>
      </x:c>
    </x:row>
    <x:row r="35" s="113" customFormat="1" ht="36" customHeight="1">
      <x:c r="A35" s="22" t="n">
        <x:v>6</x:v>
      </x:c>
      <x:c r="B35" s="23" t="inlineStr">
        <x:is>
          <x:t xml:space="preserve">□</x:t>
        </x:is>
      </x:c>
      <x:c r="C35" s="24" t="inlineStr">
        <x:is>
          <x:t xml:space="preserve">🟡 變化</x:t>
        </x:is>
      </x:c>
      <x:c r="D35" s="25" t="inlineStr">
        <x:is>
          <x:t xml:space="preserve">在分析藍本中 → 摘要報表 → 自動產生三種情境的對比表</x:t>
        </x:is>
      </x:c>
    </x:row>
    <x:row r="36" s="113" customFormat="1" ht="36" customHeight="1">
      <x:c r="A36" s="26" t="n">
        <x:v>7</x:v>
      </x:c>
      <x:c r="B36" s="27" t="inlineStr">
        <x:is>
          <x:t xml:space="preserve">□</x:t>
        </x:is>
      </x:c>
      <x:c r="C36" s="28" t="inlineStr">
        <x:is>
          <x:t xml:space="preserve">🔴 挑戰</x:t>
        </x:is>
      </x:c>
      <x:c r="D36" s="29" t="inlineStr">
        <x:is>
          <x:t xml:space="preserve">綜合運用：建立一個定價模型，用目標搜尋找損益兩平點，用資料表做敏感度分析</x:t>
        </x:is>
      </x:c>
    </x:row>
    <x:row r="37" s="113" customFormat="1" ht="36" customHeight="1">
      <x:c r="A37" s="26" t="n">
        <x:v>8</x:v>
      </x:c>
      <x:c r="B37" s="27" t="inlineStr">
        <x:is>
          <x:t xml:space="preserve">□</x:t>
        </x:is>
      </x:c>
      <x:c r="C37" s="28" t="inlineStr">
        <x:is>
          <x:t xml:space="preserve">🔴 挑戰</x:t>
        </x:is>
      </x:c>
      <x:c r="D37" s="29" t="inlineStr">
        <x:is>
          <x:t xml:space="preserve">嘗試規劃求解（Solver）：在限制條件下最佳化結果（需先啟用增益集）</x:t>
        </x:is>
      </x:c>
    </x:row>
  </x:sheetData>
  <x:mergeCells>
    <x:mergeCell ref="B11:D11"/>
    <x:mergeCell ref="B23:D23"/>
    <x:mergeCell ref="A4:D4"/>
    <x:mergeCell ref="B17:D17"/>
    <x:mergeCell ref="B13:D13"/>
    <x:mergeCell ref="A28:D28"/>
    <x:mergeCell ref="B10:D10"/>
    <x:mergeCell ref="A9:D9"/>
    <x:mergeCell ref="B19:D19"/>
    <x:mergeCell ref="A15:D15"/>
    <x:mergeCell ref="B24:D24"/>
    <x:mergeCell ref="A1:D1"/>
    <x:mergeCell ref="B25:D25"/>
    <x:mergeCell ref="B16:D16"/>
    <x:mergeCell ref="B22:D22"/>
    <x:mergeCell ref="A21:D21"/>
    <x:mergeCell ref="B18:D18"/>
    <x:mergeCell ref="A2:D2"/>
    <x:mergeCell ref="B12:D1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3" customWidth="1"/>
    <x:col min="2" max="4" width="28" style="113" customWidth="1"/>
  </x:cols>
  <x:sheetData>
    <x:row r="1" s="113" customFormat="1" ht="37.5" customHeight="1">
      <x:c r="A1" s="32" t="inlineStr">
        <x:is>
          <x:t xml:space="preserve">⚡ Power Query</x:t>
        </x:is>
      </x:c>
      <x:c r="B1" s="2" t="n"/>
      <x:c r="C1" s="2" t="n"/>
      <x:c r="D1" s="3" t="n"/>
    </x:row>
    <x:row r="2" s="113" customFormat="1" ht="19.5" customHeight="1">
      <x:c r="A2" s="4" t="inlineStr">
        <x:is>
          <x:t xml:space="preserve">難度：🟠 Lv.4  |  現代 ETL 工具  |  自動清洗、合併、轉換資料</x:t>
        </x:is>
      </x:c>
    </x:row>
    <x:row r="4" s="113" customFormat="1" ht="21.75" customHeight="1">
      <x:c r="A4" s="5" t="inlineStr">
        <x:is>
          <x:t xml:space="preserve">📌 什麼是 Power Query</x:t>
        </x:is>
      </x:c>
      <x:c r="B4" s="2" t="n"/>
      <x:c r="C4" s="2" t="n"/>
      <x:c r="D4" s="3" t="n"/>
    </x:row>
    <x:row r="5" s="113" customFormat="1" ht="24" customHeight="1">
      <x:c r="A5" s="6" t="inlineStr">
        <x:is>
          <x:t xml:space="preserve">定位</x:t>
        </x:is>
      </x:c>
      <x:c r="B5" s="31" t="inlineStr">
        <x:is>
          <x:t xml:space="preserve">Excel 內建的資料轉換引擎（資料 → 取得資料）</x:t>
        </x:is>
      </x:c>
      <x:c r="C5" s="2" t="n"/>
      <x:c r="D5" s="3" t="n"/>
    </x:row>
    <x:row r="6" s="113" customFormat="1" ht="24" customHeight="1">
      <x:c r="A6" s="6" t="inlineStr">
        <x:is>
          <x:t xml:space="preserve">核心概念</x:t>
        </x:is>
      </x:c>
      <x:c r="B6" s="7" t="inlineStr">
        <x:is>
          <x:t xml:space="preserve">建立「查詢步驟」→ 資料更新時一鍵重跑</x:t>
        </x:is>
      </x:c>
      <x:c r="C6" s="2" t="n"/>
      <x:c r="D6" s="3" t="n"/>
    </x:row>
    <x:row r="7" s="113" customFormat="1" ht="24" customHeight="1">
      <x:c r="A7" s="6" t="inlineStr">
        <x:is>
          <x:t xml:space="preserve">優勢</x:t>
        </x:is>
      </x:c>
      <x:c r="B7" s="7" t="inlineStr">
        <x:is>
          <x:t xml:space="preserve">不用公式、不用 VBA，滑鼠點點就能處理資料</x:t>
        </x:is>
      </x:c>
      <x:c r="C7" s="2" t="n"/>
      <x:c r="D7" s="3" t="n"/>
    </x:row>
    <x:row r="9" s="113" customFormat="1" ht="21.75" customHeight="1">
      <x:c r="A9" s="5" t="inlineStr">
        <x:is>
          <x:t xml:space="preserve">🔧 常用操作</x:t>
        </x:is>
      </x:c>
      <x:c r="B9" s="2" t="n"/>
      <x:c r="C9" s="2" t="n"/>
      <x:c r="D9" s="3" t="n"/>
    </x:row>
    <x:row r="10" s="113" customFormat="1" ht="24" customHeight="1">
      <x:c r="A10" s="6" t="inlineStr">
        <x:is>
          <x:t xml:space="preserve">匯入資料</x:t>
        </x:is>
      </x:c>
      <x:c r="B10" s="7" t="inlineStr">
        <x:is>
          <x:t xml:space="preserve">資料 → 取得資料 → 從 Excel/CSV/資料夾/Web</x:t>
        </x:is>
      </x:c>
      <x:c r="C10" s="3" t="n"/>
      <x:c r="D10" s="8" t="inlineStr">
        <x:is>
          <x:t xml:space="preserve">支援幾十種資料來源</x:t>
        </x:is>
      </x:c>
    </x:row>
    <x:row r="11" s="113" customFormat="1" ht="24" customHeight="1">
      <x:c r="A11" s="6" t="inlineStr">
        <x:is>
          <x:t xml:space="preserve">移除欄/列</x:t>
        </x:is>
      </x:c>
      <x:c r="B11" s="7" t="inlineStr">
        <x:is>
          <x:t xml:space="preserve">選取欄 → 右鍵移除（或移除其他欄）</x:t>
        </x:is>
      </x:c>
      <x:c r="C11" s="3" t="n"/>
      <x:c r="D11" s="8" t="inlineStr">
        <x:is>
          <x:t xml:space="preserve">只保留需要的資料</x:t>
        </x:is>
      </x:c>
    </x:row>
    <x:row r="12" s="113" customFormat="1" ht="24" customHeight="1">
      <x:c r="A12" s="6" t="inlineStr">
        <x:is>
          <x:t xml:space="preserve">篩選</x:t>
        </x:is>
      </x:c>
      <x:c r="B12" s="7" t="inlineStr">
        <x:is>
          <x:t xml:space="preserve">點欄標題的下拉箭頭 → 篩選</x:t>
        </x:is>
      </x:c>
      <x:c r="C12" s="3" t="n"/>
      <x:c r="D12" s="8" t="inlineStr">
        <x:is>
          <x:t xml:space="preserve">跟 Excel 篩選一樣直覺</x:t>
        </x:is>
      </x:c>
    </x:row>
    <x:row r="13" s="113" customFormat="1" ht="24" customHeight="1">
      <x:c r="A13" s="6" t="inlineStr">
        <x:is>
          <x:t xml:space="preserve">分割欄位</x:t>
        </x:is>
      </x:c>
      <x:c r="B13" s="7" t="inlineStr">
        <x:is>
          <x:t xml:space="preserve">轉換 → 分割資料行 → 依分隔符號</x:t>
        </x:is>
      </x:c>
      <x:c r="C13" s="3" t="n"/>
      <x:c r="D13" s="8" t="inlineStr">
        <x:is>
          <x:t xml:space="preserve">把「姓名-部門」拆成兩欄</x:t>
        </x:is>
      </x:c>
    </x:row>
    <x:row r="14" s="113" customFormat="1" ht="24" customHeight="1">
      <x:c r="A14" s="6" t="inlineStr">
        <x:is>
          <x:t xml:space="preserve">合併欄位</x:t>
        </x:is>
      </x:c>
      <x:c r="B14" s="7" t="inlineStr">
        <x:is>
          <x:t xml:space="preserve">新增資料行 → 合併資料行</x:t>
        </x:is>
      </x:c>
      <x:c r="C14" s="3" t="n"/>
      <x:c r="D14" s="8" t="inlineStr">
        <x:is>
          <x:t xml:space="preserve">把多欄合成一欄</x:t>
        </x:is>
      </x:c>
    </x:row>
    <x:row r="15" s="113" customFormat="1" ht="24" customHeight="1">
      <x:c r="A15" s="6" t="inlineStr">
        <x:is>
          <x:t xml:space="preserve">取代值</x:t>
        </x:is>
      </x:c>
      <x:c r="B15" s="7" t="inlineStr">
        <x:is>
          <x:t xml:space="preserve">轉換 → 取代值</x:t>
        </x:is>
      </x:c>
      <x:c r="C15" s="3" t="n"/>
      <x:c r="D15" s="8" t="inlineStr">
        <x:is>
          <x:t xml:space="preserve">批次替換，不怕改到公式</x:t>
        </x:is>
      </x:c>
    </x:row>
    <x:row r="16" s="113" customFormat="1" ht="24" customHeight="1">
      <x:c r="A16" s="6" t="inlineStr">
        <x:is>
          <x:t xml:space="preserve">樞紐/取消樞紐</x:t>
        </x:is>
      </x:c>
      <x:c r="B16" s="7" t="inlineStr">
        <x:is>
          <x:t xml:space="preserve">轉換 → 取消資料行樞紐</x:t>
        </x:is>
      </x:c>
      <x:c r="C16" s="3" t="n"/>
      <x:c r="D16" s="8" t="inlineStr">
        <x:is>
          <x:t xml:space="preserve">把寬表變長表（分析用）</x:t>
        </x:is>
      </x:c>
    </x:row>
    <x:row r="17" s="113" customFormat="1" ht="24" customHeight="1">
      <x:c r="A17" s="6" t="inlineStr">
        <x:is>
          <x:t xml:space="preserve">群組</x:t>
        </x:is>
      </x:c>
      <x:c r="B17" s="7" t="inlineStr">
        <x:is>
          <x:t xml:space="preserve">轉換 → 群組依據</x:t>
        </x:is>
      </x:c>
      <x:c r="C17" s="3" t="n"/>
      <x:c r="D17" s="8" t="inlineStr">
        <x:is>
          <x:t xml:space="preserve">類似 SQL 的 GROUP BY</x:t>
        </x:is>
      </x:c>
    </x:row>
    <x:row r="19" s="113" customFormat="1" ht="21.75" customHeight="1">
      <x:c r="A19" s="5" t="inlineStr">
        <x:is>
          <x:t xml:space="preserve">🚀 進階技巧</x:t>
        </x:is>
      </x:c>
      <x:c r="B19" s="2" t="n"/>
      <x:c r="C19" s="2" t="n"/>
      <x:c r="D19" s="3" t="n"/>
    </x:row>
    <x:row r="20" s="113" customFormat="1" ht="24" customHeight="1">
      <x:c r="A20" s="6" t="inlineStr">
        <x:is>
          <x:t xml:space="preserve">合併查詢</x:t>
        </x:is>
      </x:c>
      <x:c r="B20" s="7" t="inlineStr">
        <x:is>
          <x:t xml:space="preserve">常用 → 合併查詢（類似 VLOOKUP 但更強）</x:t>
        </x:is>
      </x:c>
      <x:c r="C20" s="3" t="n"/>
      <x:c r="D20" s="8" t="inlineStr">
        <x:is>
          <x:t xml:space="preserve">可選 Inner/Left/Full 等 Join 方式</x:t>
        </x:is>
      </x:c>
    </x:row>
    <x:row r="21" s="113" customFormat="1" ht="24" customHeight="1">
      <x:c r="A21" s="6" t="inlineStr">
        <x:is>
          <x:t xml:space="preserve">附加查詢</x:t>
        </x:is>
      </x:c>
      <x:c r="B21" s="7" t="inlineStr">
        <x:is>
          <x:t xml:space="preserve">常用 → 附加查詢（垂直合併多張表）</x:t>
        </x:is>
      </x:c>
      <x:c r="C21" s="3" t="n"/>
      <x:c r="D21" s="8" t="inlineStr">
        <x:is>
          <x:t xml:space="preserve">把結構相同的表上下接在一起</x:t>
        </x:is>
      </x:c>
    </x:row>
    <x:row r="22" s="113" customFormat="1" ht="24" customHeight="1">
      <x:c r="A22" s="6" t="inlineStr">
        <x:is>
          <x:t xml:space="preserve">從資料夾匯入</x:t>
        </x:is>
      </x:c>
      <x:c r="B22" s="7" t="inlineStr">
        <x:is>
          <x:t xml:space="preserve">取得資料 → 從資料夾 → 自動合併所有檔案</x:t>
        </x:is>
      </x:c>
      <x:c r="C22" s="3" t="n"/>
      <x:c r="D22" s="8" t="inlineStr">
        <x:is>
          <x:t xml:space="preserve">每月報表自動合併的神技</x:t>
        </x:is>
      </x:c>
    </x:row>
    <x:row r="23" s="113" customFormat="1" ht="24" customHeight="1">
      <x:c r="A23" s="6" t="inlineStr">
        <x:is>
          <x:t xml:space="preserve">參數化查詢</x:t>
        </x:is>
      </x:c>
      <x:c r="B23" s="7" t="inlineStr">
        <x:is>
          <x:t xml:space="preserve">管理參數 → 新增參數 → 在查詢中引用</x:t>
        </x:is>
      </x:c>
      <x:c r="C23" s="3" t="n"/>
      <x:c r="D23" s="8" t="inlineStr">
        <x:is>
          <x:t xml:space="preserve">讓使用者輸入篩選條件</x:t>
        </x:is>
      </x:c>
    </x:row>
    <x:row r="24" s="113" customFormat="1" ht="24" customHeight="1">
      <x:c r="A24" s="9" t="inlineStr">
        <x:is>
          <x:t xml:space="preserve">M 語言</x:t>
        </x:is>
      </x:c>
      <x:c r="B24" s="7" t="inlineStr">
        <x:is>
          <x:t xml:space="preserve">進階編輯器可以寫 M 語言自訂邏輯</x:t>
        </x:is>
      </x:c>
      <x:c r="C24" s="3" t="n"/>
      <x:c r="D24" s="33" t="inlineStr">
        <x:is>
          <x:t xml:space="preserve">Power Query 的底層語言</x:t>
        </x:is>
      </x:c>
    </x:row>
    <x:row r="26" s="113" customFormat="1" ht="21.75" customHeight="1">
      <x:c r="A26" s="5" t="inlineStr">
        <x:is>
          <x:t xml:space="preserve">💡 實務建議</x:t>
        </x:is>
      </x:c>
      <x:c r="B26" s="2" t="n"/>
      <x:c r="C26" s="2" t="n"/>
      <x:c r="D26" s="3" t="n"/>
    </x:row>
    <x:row r="27" s="113" customFormat="1" ht="24" customHeight="1">
      <x:c r="A27" s="6" t="inlineStr">
        <x:is>
          <x:t xml:space="preserve">先 PQ 再分析</x:t>
        </x:is>
      </x:c>
      <x:c r="B27" s="7" t="inlineStr">
        <x:is>
          <x:t xml:space="preserve">用 Power Query 清洗 → 載入到表格 → 建樞紐表</x:t>
        </x:is>
      </x:c>
      <x:c r="C27" s="2" t="n"/>
      <x:c r="D27" s="3" t="n"/>
    </x:row>
    <x:row r="28" s="113" customFormat="1" ht="24" customHeight="1">
      <x:c r="A28" s="6" t="inlineStr">
        <x:is>
          <x:t xml:space="preserve">保留步驟</x:t>
        </x:is>
      </x:c>
      <x:c r="B28" s="7" t="inlineStr">
        <x:is>
          <x:t xml:space="preserve">每個步驟都有紀錄，可以隨時回溯或修改</x:t>
        </x:is>
      </x:c>
      <x:c r="C28" s="2" t="n"/>
      <x:c r="D28" s="3" t="n"/>
    </x:row>
    <x:row r="29" s="113" customFormat="1" ht="24" customHeight="1">
      <x:c r="A29" s="6" t="inlineStr">
        <x:is>
          <x:t xml:space="preserve">重新整理</x:t>
        </x:is>
      </x:c>
      <x:c r="B29" s="7" t="inlineStr">
        <x:is>
          <x:t xml:space="preserve">資料更新後 → 右鍵查詢 → 重新整理</x:t>
        </x:is>
      </x:c>
      <x:c r="C29" s="2" t="n"/>
      <x:c r="D29" s="3" t="n"/>
    </x:row>
    <x:row r="30" s="113" customFormat="1" ht="24" customHeight="1">
      <x:c r="A30" s="6" t="inlineStr">
        <x:is>
          <x:t xml:space="preserve">效能</x:t>
        </x:is>
      </x:c>
      <x:c r="B30" s="7" t="inlineStr">
        <x:is>
          <x:t xml:space="preserve">大量資料（&gt;10萬列）用 PQ 比公式快很多倍</x:t>
        </x:is>
      </x:c>
      <x:c r="C30" s="2" t="n"/>
      <x:c r="D30" s="3" t="n"/>
    </x:row>
    <x:row r="33" s="113" customFormat="1" ht="30" customHeight="1">
      <x:c r="A33" s="10" t="inlineStr">
        <x:is>
          <x:t xml:space="preserve">🎯 動手練習（做完打 ✓，難度漸進！）</x:t>
        </x:is>
      </x:c>
      <x:c r="B33" s="11" t="n"/>
      <x:c r="C33" s="11" t="n"/>
      <x:c r="D33" s="12" t="n"/>
    </x:row>
    <x:row r="34" s="113" customFormat="1" ht="15.199999809265137" customHeight="1">
      <x:c r="A34" s="13" t="inlineStr">
        <x:is>
          <x:t xml:space="preserve">#</x:t>
        </x:is>
      </x:c>
      <x:c r="B34" s="13" t="inlineStr">
        <x:is>
          <x:t xml:space="preserve">✓</x:t>
        </x:is>
      </x:c>
      <x:c r="C34" s="13" t="inlineStr">
        <x:is>
          <x:t xml:space="preserve">難度</x:t>
        </x:is>
      </x:c>
      <x:c r="D34" s="13" t="inlineStr">
        <x:is>
          <x:t xml:space="preserve">任務描述</x:t>
        </x:is>
      </x:c>
    </x:row>
    <x:row r="35" s="113" customFormat="1" ht="36" customHeight="1">
      <x:c r="A35" s="14" t="n">
        <x:v>1</x:v>
      </x:c>
      <x:c r="B35" s="15" t="inlineStr">
        <x:is>
          <x:t xml:space="preserve">□</x:t>
        </x:is>
      </x:c>
      <x:c r="C35" s="16" t="inlineStr">
        <x:is>
          <x:t xml:space="preserve">🟢 暖身</x:t>
        </x:is>
      </x:c>
      <x:c r="D35" s="17" t="inlineStr">
        <x:is>
          <x:t xml:space="preserve">資料 → 取得資料 → 從表格/範圍 → 進入 Power Query 編輯器 → 觀察介面</x:t>
        </x:is>
      </x:c>
    </x:row>
    <x:row r="36" s="113" customFormat="1" ht="36" customHeight="1">
      <x:c r="A36" s="14" t="n">
        <x:v>2</x:v>
      </x:c>
      <x:c r="B36" s="15" t="inlineStr">
        <x:is>
          <x:t xml:space="preserve">□</x:t>
        </x:is>
      </x:c>
      <x:c r="C36" s="16" t="inlineStr">
        <x:is>
          <x:t xml:space="preserve">🟢 暖身</x:t>
        </x:is>
      </x:c>
      <x:c r="D36" s="17" t="inlineStr">
        <x:is>
          <x:t xml:space="preserve">在 PQ 編輯器中：移除空白列 → 變更欄位類型（文字/數字/日期）→ 關閉並載入</x:t>
        </x:is>
      </x:c>
    </x:row>
    <x:row r="37" s="113" customFormat="1" ht="36" customHeight="1">
      <x:c r="A37" s="18" t="n">
        <x:v>3</x:v>
      </x:c>
      <x:c r="B37" s="19" t="inlineStr">
        <x:is>
          <x:t xml:space="preserve">□</x:t>
        </x:is>
      </x:c>
      <x:c r="C37" s="20" t="inlineStr">
        <x:is>
          <x:t xml:space="preserve">🔵 標準</x:t>
        </x:is>
      </x:c>
      <x:c r="D37" s="21" t="inlineStr">
        <x:is>
          <x:t xml:space="preserve">匯入一個 CSV 檔案 → 在 PQ 中：分割欄位（依分隔符號）→ 移除不需要的欄位</x:t>
        </x:is>
      </x:c>
    </x:row>
    <x:row r="38" s="113" customFormat="1" ht="36" customHeight="1">
      <x:c r="A38" s="18" t="n">
        <x:v>4</x:v>
      </x:c>
      <x:c r="B38" s="19" t="inlineStr">
        <x:is>
          <x:t xml:space="preserve">□</x:t>
        </x:is>
      </x:c>
      <x:c r="C38" s="20" t="inlineStr">
        <x:is>
          <x:t xml:space="preserve">🔵 標準</x:t>
        </x:is>
      </x:c>
      <x:c r="D38" s="21" t="inlineStr">
        <x:is>
          <x:t xml:space="preserve">新增自訂欄位：用 PQ 公式新增「含稅金額 = [金額] * 1.05」</x:t>
        </x:is>
      </x:c>
    </x:row>
    <x:row r="39" s="113" customFormat="1" ht="36" customHeight="1">
      <x:c r="A39" s="22" t="n">
        <x:v>5</x:v>
      </x:c>
      <x:c r="B39" s="23" t="inlineStr">
        <x:is>
          <x:t xml:space="preserve">□</x:t>
        </x:is>
      </x:c>
      <x:c r="C39" s="24" t="inlineStr">
        <x:is>
          <x:t xml:space="preserve">🟡 變化</x:t>
        </x:is>
      </x:c>
      <x:c r="D39" s="25" t="inlineStr">
        <x:is>
          <x:t xml:space="preserve">合併查詢：把兩個表格依共同欄位（如產品代碼）做 Left Join 合併</x:t>
        </x:is>
      </x:c>
    </x:row>
    <x:row r="40" s="113" customFormat="1" ht="36" customHeight="1">
      <x:c r="A40" s="22" t="n">
        <x:v>6</x:v>
      </x:c>
      <x:c r="B40" s="23" t="inlineStr">
        <x:is>
          <x:t xml:space="preserve">□</x:t>
        </x:is>
      </x:c>
      <x:c r="C40" s="24" t="inlineStr">
        <x:is>
          <x:t xml:space="preserve">🟡 變化</x:t>
        </x:is>
      </x:c>
      <x:c r="D40" s="25" t="inlineStr">
        <x:is>
          <x:t xml:space="preserve">附加查詢：把兩個相同結構的月報表上下合併（垂直合併）</x:t>
        </x:is>
      </x:c>
    </x:row>
    <x:row r="41" s="113" customFormat="1" ht="36" customHeight="1">
      <x:c r="A41" s="26" t="n">
        <x:v>7</x:v>
      </x:c>
      <x:c r="B41" s="27" t="inlineStr">
        <x:is>
          <x:t xml:space="preserve">□</x:t>
        </x:is>
      </x:c>
      <x:c r="C41" s="28" t="inlineStr">
        <x:is>
          <x:t xml:space="preserve">🔴 挑戰</x:t>
        </x:is>
      </x:c>
      <x:c r="D41" s="29" t="inlineStr">
        <x:is>
          <x:t xml:space="preserve">從資料夾匯入：把多個 Excel 檔案放同一個資料夾 → 取得資料 → 從資料夾 → 自動合併</x:t>
        </x:is>
      </x:c>
    </x:row>
    <x:row r="42" s="113" customFormat="1" ht="36" customHeight="1">
      <x:c r="A42" s="26" t="n">
        <x:v>8</x:v>
      </x:c>
      <x:c r="B42" s="27" t="inlineStr">
        <x:is>
          <x:t xml:space="preserve">□</x:t>
        </x:is>
      </x:c>
      <x:c r="C42" s="28" t="inlineStr">
        <x:is>
          <x:t xml:space="preserve">🔴 挑戰</x:t>
        </x:is>
      </x:c>
      <x:c r="D42" s="29" t="inlineStr">
        <x:is>
          <x:t xml:space="preserve">建立參數化查詢：讓使用者可以在 Excel 中輸入月份 → PQ 自動篩選該月資料</x:t>
        </x:is>
      </x:c>
    </x:row>
  </x:sheetData>
  <x:mergeCells>
    <x:mergeCell ref="B16:C16"/>
    <x:mergeCell ref="A4:D4"/>
    <x:mergeCell ref="B22:C22"/>
    <x:mergeCell ref="A19:D19"/>
    <x:mergeCell ref="B29:D29"/>
    <x:mergeCell ref="B12:C12"/>
    <x:mergeCell ref="B28:D28"/>
    <x:mergeCell ref="A9:D9"/>
    <x:mergeCell ref="B21:C21"/>
    <x:mergeCell ref="B11:C11"/>
    <x:mergeCell ref="B23:C23"/>
    <x:mergeCell ref="B14:C14"/>
    <x:mergeCell ref="B30:D30"/>
    <x:mergeCell ref="B17:C17"/>
    <x:mergeCell ref="B6:D6"/>
    <x:mergeCell ref="B13:C13"/>
    <x:mergeCell ref="A1:D1"/>
    <x:mergeCell ref="B5:D5"/>
    <x:mergeCell ref="B10:C10"/>
    <x:mergeCell ref="B7:D7"/>
    <x:mergeCell ref="B24:C24"/>
    <x:mergeCell ref="B15:C15"/>
    <x:mergeCell ref="B20:C20"/>
    <x:mergeCell ref="A26:D26"/>
    <x:mergeCell ref="B27:D27"/>
    <x:mergeCell ref="A2:D2"/>
    <x:mergeCell ref="A33:D3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3" customWidth="1"/>
    <x:col min="2" max="3" width="28" style="113" customWidth="1"/>
    <x:col min="4" max="4" width="20" style="113" customWidth="1"/>
  </x:cols>
  <x:sheetData>
    <x:row r="1" s="113" customFormat="1" ht="37.5" customHeight="1">
      <x:c r="A1" s="93" t="inlineStr">
        <x:is>
          <x:t xml:space="preserve">⚙️ VBA 基礎  ─  變數 / 迴圈 / 條件 / 儲存格操作</x:t>
        </x:is>
      </x:c>
      <x:c r="B1" s="2" t="n"/>
      <x:c r="C1" s="2" t="n"/>
      <x:c r="D1" s="2" t="n"/>
    </x:row>
    <x:row r="2" s="113" customFormat="1" ht="19.5" customHeight="1">
      <x:c r="A2" s="4" t="inlineStr">
        <x:is>
          <x:t xml:space="preserve">難度：🟡 Lv.3  |  複製程式碼到 VBE（Alt+F11）執行</x:t>
        </x:is>
      </x:c>
    </x:row>
    <x:row r="3" s="113" customFormat="1" ht="30" customHeight="1">
      <x:c r="A3" s="83" t="inlineStr">
        <x:is>
          <x:t xml:space="preserve">⚠️ macOS 注意：VBA 編輯器從「工具→巨集→Visual Basic 編輯器」開啟（沒有 Alt+F11）。Mac 不支援 UserForm，需用 InputBox 或 MsgBox 替代。</x:t>
        </x:is>
      </x:c>
      <x:c r="B3" s="2" t="n"/>
      <x:c r="C3" s="2" t="n"/>
      <x:c r="D3" s="3" t="n"/>
    </x:row>
    <x:row r="4" s="113" customFormat="1" ht="21.75" customHeight="1">
      <x:c r="A4" s="38" t="inlineStr">
        <x:is>
          <x:t xml:space="preserve">⌨️ 快速操作指南</x:t>
        </x:is>
      </x:c>
      <x:c r="B4" s="2" t="n"/>
      <x:c r="C4" s="2" t="n"/>
      <x:c r="D4" s="2" t="n"/>
    </x:row>
    <x:row r="5" s="113" customFormat="1" ht="21.75" customHeight="1">
      <x:c r="A5" s="6" t="inlineStr">
        <x:is>
          <x:t xml:space="preserve">開啟 VBE</x:t>
        </x:is>
      </x:c>
      <x:c r="B5" s="94" t="inlineStr">
        <x:is>
          <x:t xml:space="preserve">Alt + F11</x:t>
        </x:is>
      </x:c>
      <x:c r="C5" s="2" t="n"/>
      <x:c r="D5" s="2" t="n"/>
    </x:row>
    <x:row r="6" s="113" customFormat="1" ht="21.75" customHeight="1">
      <x:c r="A6" s="6" t="inlineStr">
        <x:is>
          <x:t xml:space="preserve">插入模組</x:t>
        </x:is>
      </x:c>
      <x:c r="B6" s="94" t="inlineStr">
        <x:is>
          <x:t xml:space="preserve">VBE → 插入 → 模組</x:t>
        </x:is>
      </x:c>
      <x:c r="C6" s="2" t="n"/>
      <x:c r="D6" s="2" t="n"/>
    </x:row>
    <x:row r="7" s="113" customFormat="1" ht="21.75" customHeight="1">
      <x:c r="A7" s="6" t="inlineStr">
        <x:is>
          <x:t xml:space="preserve">執行巨集</x:t>
        </x:is>
      </x:c>
      <x:c r="B7" s="94" t="inlineStr">
        <x:is>
          <x:t xml:space="preserve">F5（在 VBE）或 工具→巨集（在 Excel）</x:t>
        </x:is>
      </x:c>
      <x:c r="C7" s="2" t="n"/>
      <x:c r="D7" s="2" t="n"/>
    </x:row>
    <x:row r="8" s="113" customFormat="1" ht="21.75" customHeight="1">
      <x:c r="A8" s="6" t="inlineStr">
        <x:is>
          <x:t xml:space="preserve">逐行除錯</x:t>
        </x:is>
      </x:c>
      <x:c r="B8" s="94" t="inlineStr">
        <x:is>
          <x:t xml:space="preserve">F8（逐步執行，觀察變數）</x:t>
        </x:is>
      </x:c>
      <x:c r="C8" s="2" t="n"/>
      <x:c r="D8" s="2" t="n"/>
    </x:row>
    <x:row r="10" s="113" customFormat="1" ht="21.75" customHeight="1">
      <x:c r="A10" s="95" t="inlineStr">
        <x:is>
          <x:t xml:space="preserve">微任務 1：Hello World（你的第一個 VBA）</x:t>
        </x:is>
      </x:c>
      <x:c r="B10" s="2" t="n"/>
      <x:c r="C10" s="2" t="n"/>
      <x:c r="D10" s="96" t="inlineStr">
        <x:is>
          <x:t xml:space="preserve">⏱ 2 分鐘</x:t>
        </x:is>
      </x:c>
    </x:row>
    <x:row r="11" s="113" customFormat="1" ht="15.75" customHeight="1">
      <x:c r="A11" s="86" t="inlineStr">
        <x:is>
          <x:t xml:space="preserve">Sub HelloWorld()</x:t>
        </x:is>
      </x:c>
      <x:c r="B11" s="2" t="n"/>
      <x:c r="C11" s="2" t="n"/>
      <x:c r="D11" s="2" t="n"/>
    </x:row>
    <x:row r="12" s="113" customFormat="1" ht="15.75" customHeight="1">
      <x:c r="A12" s="86" t="inlineStr">
        <x:is>
          <x:t xml:space="preserve">    MsgBox "Hello, Excel VBA！"</x:t>
        </x:is>
      </x:c>
      <x:c r="B12" s="2" t="n"/>
      <x:c r="C12" s="2" t="n"/>
      <x:c r="D12" s="2" t="n"/>
    </x:row>
    <x:row r="13" s="113" customFormat="1" ht="15.75" customHeight="1">
      <x:c r="A13" s="86" t="inlineStr">
        <x:is>
          <x:t xml:space="preserve">End Sub</x:t>
        </x:is>
      </x:c>
      <x:c r="B13" s="2" t="n"/>
      <x:c r="C13" s="2" t="n"/>
      <x:c r="D13" s="2" t="n"/>
    </x:row>
    <x:row r="14" s="113" customFormat="1" ht="21.75" customHeight="1">
      <x:c r="A14" s="88" t="inlineStr">
        <x:is>
          <x:t xml:space="preserve">💡 MsgBox 彈出對話框，最基本的輸出方式</x:t>
        </x:is>
      </x:c>
      <x:c r="B14" s="2" t="n"/>
      <x:c r="C14" s="2" t="n"/>
      <x:c r="D14" s="2" t="n"/>
    </x:row>
    <x:row r="16" s="113" customFormat="1" ht="21.75" customHeight="1">
      <x:c r="A16" s="95" t="inlineStr">
        <x:is>
          <x:t xml:space="preserve">微任務 2：變數與資料型態</x:t>
        </x:is>
      </x:c>
      <x:c r="B16" s="2" t="n"/>
      <x:c r="C16" s="2" t="n"/>
      <x:c r="D16" s="96" t="inlineStr">
        <x:is>
          <x:t xml:space="preserve">⏱ 3 分鐘</x:t>
        </x:is>
      </x:c>
    </x:row>
    <x:row r="17" s="113" customFormat="1" ht="15.75" customHeight="1">
      <x:c r="A17" s="86" t="inlineStr">
        <x:is>
          <x:t xml:space="preserve">Sub LearnVariables()</x:t>
        </x:is>
      </x:c>
      <x:c r="B17" s="2" t="n"/>
      <x:c r="C17" s="2" t="n"/>
      <x:c r="D17" s="2" t="n"/>
    </x:row>
    <x:row r="18" s="113" customFormat="1" ht="15.75" customHeight="1">
      <x:c r="A18" s="86" t="inlineStr">
        <x:is>
          <x:t xml:space="preserve">    Dim name As String    ' 文字型態</x:t>
        </x:is>
      </x:c>
      <x:c r="B18" s="2" t="n"/>
      <x:c r="C18" s="2" t="n"/>
      <x:c r="D18" s="2" t="n"/>
    </x:row>
    <x:row r="19" s="113" customFormat="1" ht="15.75" customHeight="1">
      <x:c r="A19" s="86" t="inlineStr">
        <x:is>
          <x:t xml:space="preserve">    Dim age As Integer    ' 整數</x:t>
        </x:is>
      </x:c>
      <x:c r="B19" s="2" t="n"/>
      <x:c r="C19" s="2" t="n"/>
      <x:c r="D19" s="2" t="n"/>
    </x:row>
    <x:row r="20" s="113" customFormat="1" ht="15.75" customHeight="1">
      <x:c r="A20" s="86" t="inlineStr">
        <x:is>
          <x:t xml:space="preserve">    Dim salary As Double  ' 含小數</x:t>
        </x:is>
      </x:c>
      <x:c r="B20" s="2" t="n"/>
      <x:c r="C20" s="2" t="n"/>
      <x:c r="D20" s="2" t="n"/>
    </x:row>
    <x:row r="21" s="113" customFormat="1" ht="15.75" customHeight="1">
      <x:c r="A21" s="86" t="inlineStr">
        <x:is>
          <x:t xml:space="preserve">    Dim isActive As Boolean  ' 布林</x:t>
        </x:is>
      </x:c>
      <x:c r="B21" s="2" t="n"/>
      <x:c r="C21" s="2" t="n"/>
      <x:c r="D21" s="2" t="n"/>
    </x:row>
    <x:row r="22" s="113" customFormat="1" ht="15.75" customHeight="1">
      <x:c r="A22" s="86" t="inlineStr">
        <x:is>
          <x:t xml:space="preserve">    </x:t>
        </x:is>
      </x:c>
      <x:c r="B22" s="2" t="n"/>
      <x:c r="C22" s="2" t="n"/>
      <x:c r="D22" s="2" t="n"/>
    </x:row>
    <x:row r="23" s="113" customFormat="1" ht="15.75" customHeight="1">
      <x:c r="A23" s="86" t="inlineStr">
        <x:is>
          <x:t xml:space="preserve">    name = "Astor"</x:t>
        </x:is>
      </x:c>
      <x:c r="B23" s="2" t="n"/>
      <x:c r="C23" s="2" t="n"/>
      <x:c r="D23" s="2" t="n"/>
    </x:row>
    <x:row r="24" s="113" customFormat="1" ht="15.75" customHeight="1">
      <x:c r="A24" s="86" t="inlineStr">
        <x:is>
          <x:t xml:space="preserve">    age = 30</x:t>
        </x:is>
      </x:c>
      <x:c r="B24" s="2" t="n"/>
      <x:c r="C24" s="2" t="n"/>
      <x:c r="D24" s="2" t="n"/>
    </x:row>
    <x:row r="25" s="113" customFormat="1" ht="15.75" customHeight="1">
      <x:c r="A25" s="86" t="inlineStr">
        <x:is>
          <x:t xml:space="preserve">    salary = 55000.5</x:t>
        </x:is>
      </x:c>
      <x:c r="B25" s="2" t="n"/>
      <x:c r="C25" s="2" t="n"/>
      <x:c r="D25" s="2" t="n"/>
    </x:row>
    <x:row r="26" s="113" customFormat="1" ht="15.75" customHeight="1">
      <x:c r="A26" s="86" t="inlineStr">
        <x:is>
          <x:t xml:space="preserve">    isActive = True</x:t>
        </x:is>
      </x:c>
      <x:c r="B26" s="2" t="n"/>
      <x:c r="C26" s="2" t="n"/>
      <x:c r="D26" s="2" t="n"/>
    </x:row>
    <x:row r="27" s="113" customFormat="1" ht="15.75" customHeight="1">
      <x:c r="A27" s="86" t="inlineStr">
        <x:is>
          <x:t xml:space="preserve">    </x:t>
        </x:is>
      </x:c>
      <x:c r="B27" s="2" t="n"/>
      <x:c r="C27" s="2" t="n"/>
      <x:c r="D27" s="2" t="n"/>
    </x:row>
    <x:row r="28" s="113" customFormat="1" ht="15.75" customHeight="1">
      <x:c r="A28" s="86" t="inlineStr">
        <x:is>
          <x:t xml:space="preserve">    MsgBox name &amp; " 年齡 " &amp; age &amp; " 薪資 " &amp; salary</x:t>
        </x:is>
      </x:c>
      <x:c r="B28" s="2" t="n"/>
      <x:c r="C28" s="2" t="n"/>
      <x:c r="D28" s="2" t="n"/>
    </x:row>
    <x:row r="29" s="113" customFormat="1" ht="15.75" customHeight="1">
      <x:c r="A29" s="86" t="inlineStr">
        <x:is>
          <x:t xml:space="preserve">End Sub</x:t>
        </x:is>
      </x:c>
      <x:c r="B29" s="2" t="n"/>
      <x:c r="C29" s="2" t="n"/>
      <x:c r="D29" s="2" t="n"/>
    </x:row>
    <x:row r="30" s="113" customFormat="1" ht="21.75" customHeight="1">
      <x:c r="A30" s="88" t="inlineStr">
        <x:is>
          <x:t xml:space="preserve">💡 Dim 宣告變數，As 指定型態。&amp; 串接文字</x:t>
        </x:is>
      </x:c>
      <x:c r="B30" s="2" t="n"/>
      <x:c r="C30" s="2" t="n"/>
      <x:c r="D30" s="2" t="n"/>
    </x:row>
    <x:row r="32" s="113" customFormat="1" ht="21.75" customHeight="1">
      <x:c r="A32" s="95" t="inlineStr">
        <x:is>
          <x:t xml:space="preserve">微任務 3：讀寫儲存格</x:t>
        </x:is>
      </x:c>
      <x:c r="B32" s="2" t="n"/>
      <x:c r="C32" s="2" t="n"/>
      <x:c r="D32" s="96" t="inlineStr">
        <x:is>
          <x:t xml:space="preserve">⏱ 2 分鐘</x:t>
        </x:is>
      </x:c>
    </x:row>
    <x:row r="33" s="113" customFormat="1" ht="15.75" customHeight="1">
      <x:c r="A33" s="86" t="inlineStr">
        <x:is>
          <x:t xml:space="preserve">Sub ReadWriteCells()</x:t>
        </x:is>
      </x:c>
      <x:c r="B33" s="2" t="n"/>
      <x:c r="C33" s="2" t="n"/>
      <x:c r="D33" s="2" t="n"/>
    </x:row>
    <x:row r="34" s="113" customFormat="1" ht="15.75" customHeight="1">
      <x:c r="A34" s="86" t="inlineStr">
        <x:is>
          <x:t xml:space="preserve">    ' 寫入</x:t>
        </x:is>
      </x:c>
      <x:c r="B34" s="2" t="n"/>
      <x:c r="C34" s="2" t="n"/>
      <x:c r="D34" s="2" t="n"/>
    </x:row>
    <x:row r="35" s="113" customFormat="1" ht="15.75" customHeight="1">
      <x:c r="A35" s="86" t="inlineStr">
        <x:is>
          <x:t xml:space="preserve">    Range("A1").Value = "Hello"</x:t>
        </x:is>
      </x:c>
      <x:c r="B35" s="2" t="n"/>
      <x:c r="C35" s="2" t="n"/>
      <x:c r="D35" s="2" t="n"/>
    </x:row>
    <x:row r="36" s="113" customFormat="1" ht="15.75" customHeight="1">
      <x:c r="A36" s="86" t="inlineStr">
        <x:is>
          <x:t xml:space="preserve">    Cells(2, 1).Value = "World"</x:t>
        </x:is>
      </x:c>
      <x:c r="B36" s="2" t="n"/>
      <x:c r="C36" s="2" t="n"/>
      <x:c r="D36" s="2" t="n"/>
    </x:row>
    <x:row r="37" s="113" customFormat="1" ht="15.75" customHeight="1">
      <x:c r="A37" s="86" t="inlineStr">
        <x:is>
          <x:t xml:space="preserve">    </x:t>
        </x:is>
      </x:c>
      <x:c r="B37" s="2" t="n"/>
      <x:c r="C37" s="2" t="n"/>
      <x:c r="D37" s="2" t="n"/>
    </x:row>
    <x:row r="38" s="113" customFormat="1" ht="15.75" customHeight="1">
      <x:c r="A38" s="86" t="inlineStr">
        <x:is>
          <x:t xml:space="preserve">    ' 讀取</x:t>
        </x:is>
      </x:c>
      <x:c r="B38" s="2" t="n"/>
      <x:c r="C38" s="2" t="n"/>
      <x:c r="D38" s="2" t="n"/>
    </x:row>
    <x:row r="39" s="113" customFormat="1" ht="15.75" customHeight="1">
      <x:c r="A39" s="86" t="inlineStr">
        <x:is>
          <x:t xml:space="preserve">    Dim val As String</x:t>
        </x:is>
      </x:c>
      <x:c r="B39" s="2" t="n"/>
      <x:c r="C39" s="2" t="n"/>
      <x:c r="D39" s="2" t="n"/>
    </x:row>
    <x:row r="40" s="113" customFormat="1" ht="15.75" customHeight="1">
      <x:c r="A40" s="86" t="inlineStr">
        <x:is>
          <x:t xml:space="preserve">    val = Range("A1").Value</x:t>
        </x:is>
      </x:c>
      <x:c r="B40" s="2" t="n"/>
      <x:c r="C40" s="2" t="n"/>
      <x:c r="D40" s="2" t="n"/>
    </x:row>
    <x:row r="41" s="113" customFormat="1" ht="15.75" customHeight="1">
      <x:c r="A41" s="86" t="inlineStr">
        <x:is>
          <x:t xml:space="preserve">    MsgBox "A1 = " &amp; val</x:t>
        </x:is>
      </x:c>
      <x:c r="B41" s="2" t="n"/>
      <x:c r="C41" s="2" t="n"/>
      <x:c r="D41" s="2" t="n"/>
    </x:row>
    <x:row r="42" s="113" customFormat="1" ht="15.75" customHeight="1">
      <x:c r="A42" s="86" t="inlineStr">
        <x:is>
          <x:t xml:space="preserve">End Sub</x:t>
        </x:is>
      </x:c>
      <x:c r="B42" s="2" t="n"/>
      <x:c r="C42" s="2" t="n"/>
      <x:c r="D42" s="2" t="n"/>
    </x:row>
    <x:row r="43" s="113" customFormat="1" ht="21.75" customHeight="1">
      <x:c r="A43" s="88" t="inlineStr">
        <x:is>
          <x:t xml:space="preserve">💡 Range("A1") 或 Cells(列,欄) 兩種方式操作儲存格</x:t>
        </x:is>
      </x:c>
      <x:c r="B43" s="2" t="n"/>
      <x:c r="C43" s="2" t="n"/>
      <x:c r="D43" s="2" t="n"/>
    </x:row>
    <x:row r="45" s="113" customFormat="1" ht="21.75" customHeight="1">
      <x:c r="A45" s="95" t="inlineStr">
        <x:is>
          <x:t xml:space="preserve">微任務 4：For 迴圈</x:t>
        </x:is>
      </x:c>
      <x:c r="B45" s="2" t="n"/>
      <x:c r="C45" s="2" t="n"/>
      <x:c r="D45" s="96" t="inlineStr">
        <x:is>
          <x:t xml:space="preserve">⏱ 3 分鐘</x:t>
        </x:is>
      </x:c>
    </x:row>
    <x:row r="46" s="113" customFormat="1" ht="15.75" customHeight="1">
      <x:c r="A46" s="86" t="inlineStr">
        <x:is>
          <x:t xml:space="preserve">Sub ForLoop()</x:t>
        </x:is>
      </x:c>
      <x:c r="B46" s="2" t="n"/>
      <x:c r="C46" s="2" t="n"/>
      <x:c r="D46" s="2" t="n"/>
    </x:row>
    <x:row r="47" s="113" customFormat="1" ht="15.75" customHeight="1">
      <x:c r="A47" s="86" t="inlineStr">
        <x:is>
          <x:t xml:space="preserve">    Dim i As Integer</x:t>
        </x:is>
      </x:c>
      <x:c r="B47" s="2" t="n"/>
      <x:c r="C47" s="2" t="n"/>
      <x:c r="D47" s="2" t="n"/>
    </x:row>
    <x:row r="48" s="113" customFormat="1" ht="15.75" customHeight="1">
      <x:c r="A48" s="86" t="inlineStr">
        <x:is>
          <x:t xml:space="preserve">    ' 在 A1:A10 填入 1~10 並上色</x:t>
        </x:is>
      </x:c>
      <x:c r="B48" s="2" t="n"/>
      <x:c r="C48" s="2" t="n"/>
      <x:c r="D48" s="2" t="n"/>
    </x:row>
    <x:row r="49" s="113" customFormat="1" ht="15.75" customHeight="1">
      <x:c r="A49" s="86" t="inlineStr">
        <x:is>
          <x:t xml:space="preserve">    For i = 1 To 10</x:t>
        </x:is>
      </x:c>
      <x:c r="B49" s="2" t="n"/>
      <x:c r="C49" s="2" t="n"/>
      <x:c r="D49" s="2" t="n"/>
    </x:row>
    <x:row r="50" s="113" customFormat="1" ht="15.75" customHeight="1">
      <x:c r="A50" s="86" t="inlineStr">
        <x:is>
          <x:t xml:space="preserve">        Cells(i, 1).Value = i</x:t>
        </x:is>
      </x:c>
      <x:c r="B50" s="2" t="n"/>
      <x:c r="C50" s="2" t="n"/>
      <x:c r="D50" s="2" t="n"/>
    </x:row>
    <x:row r="51" s="113" customFormat="1" ht="15.75" customHeight="1">
      <x:c r="A51" s="86" t="inlineStr">
        <x:is>
          <x:t xml:space="preserve">        Cells(i, 1).Interior.Color = _</x:t>
        </x:is>
      </x:c>
      <x:c r="B51" s="2" t="n"/>
      <x:c r="C51" s="2" t="n"/>
      <x:c r="D51" s="2" t="n"/>
    </x:row>
    <x:row r="52" s="113" customFormat="1" ht="15.75" customHeight="1">
      <x:c r="A52" s="86" t="inlineStr">
        <x:is>
          <x:t xml:space="preserve">            RGB(200, 230, 255)</x:t>
        </x:is>
      </x:c>
      <x:c r="B52" s="2" t="n"/>
      <x:c r="C52" s="2" t="n"/>
      <x:c r="D52" s="2" t="n"/>
    </x:row>
    <x:row r="53" s="113" customFormat="1" ht="15.75" customHeight="1">
      <x:c r="A53" s="86" t="inlineStr">
        <x:is>
          <x:t xml:space="preserve">    Next i</x:t>
        </x:is>
      </x:c>
      <x:c r="B53" s="2" t="n"/>
      <x:c r="C53" s="2" t="n"/>
      <x:c r="D53" s="2" t="n"/>
    </x:row>
    <x:row r="54" s="113" customFormat="1" ht="15.75" customHeight="1">
      <x:c r="A54" s="86" t="inlineStr">
        <x:is>
          <x:t xml:space="preserve">    MsgBox "完成 A1:A10"</x:t>
        </x:is>
      </x:c>
      <x:c r="B54" s="2" t="n"/>
      <x:c r="C54" s="2" t="n"/>
      <x:c r="D54" s="2" t="n"/>
    </x:row>
    <x:row r="55" s="113" customFormat="1" ht="15.75" customHeight="1">
      <x:c r="A55" s="86" t="inlineStr">
        <x:is>
          <x:t xml:space="preserve">End Sub</x:t>
        </x:is>
      </x:c>
      <x:c r="B55" s="2" t="n"/>
      <x:c r="C55" s="2" t="n"/>
      <x:c r="D55" s="2" t="n"/>
    </x:row>
    <x:row r="56" s="113" customFormat="1" ht="21.75" customHeight="1">
      <x:c r="A56" s="88" t="inlineStr">
        <x:is>
          <x:t xml:space="preserve">💡 For i = 起始 To 結束 ... Next i 是最常用迴圈</x:t>
        </x:is>
      </x:c>
      <x:c r="B56" s="2" t="n"/>
      <x:c r="C56" s="2" t="n"/>
      <x:c r="D56" s="2" t="n"/>
    </x:row>
    <x:row r="58" s="113" customFormat="1" ht="21.75" customHeight="1">
      <x:c r="A58" s="95" t="inlineStr">
        <x:is>
          <x:t xml:space="preserve">微任務 5：For Each 遍歷範圍</x:t>
        </x:is>
      </x:c>
      <x:c r="B58" s="2" t="n"/>
      <x:c r="C58" s="2" t="n"/>
      <x:c r="D58" s="96" t="inlineStr">
        <x:is>
          <x:t xml:space="preserve">⏱ 2 分鐘</x:t>
        </x:is>
      </x:c>
    </x:row>
    <x:row r="59" s="113" customFormat="1" ht="15.75" customHeight="1">
      <x:c r="A59" s="86" t="inlineStr">
        <x:is>
          <x:t xml:space="preserve">Sub ForEachDemo()</x:t>
        </x:is>
      </x:c>
      <x:c r="B59" s="2" t="n"/>
      <x:c r="C59" s="2" t="n"/>
      <x:c r="D59" s="2" t="n"/>
    </x:row>
    <x:row r="60" s="113" customFormat="1" ht="15.75" customHeight="1">
      <x:c r="A60" s="86" t="inlineStr">
        <x:is>
          <x:t xml:space="preserve">    Dim cell As Range</x:t>
        </x:is>
      </x:c>
      <x:c r="B60" s="2" t="n"/>
      <x:c r="C60" s="2" t="n"/>
      <x:c r="D60" s="2" t="n"/>
    </x:row>
    <x:row r="61" s="113" customFormat="1" ht="15.75" customHeight="1">
      <x:c r="A61" s="86" t="inlineStr">
        <x:is>
          <x:t xml:space="preserve">    For Each cell In Range("A1:A10")</x:t>
        </x:is>
      </x:c>
      <x:c r="B61" s="2" t="n"/>
      <x:c r="C61" s="2" t="n"/>
      <x:c r="D61" s="2" t="n"/>
    </x:row>
    <x:row r="62" s="113" customFormat="1" ht="15.75" customHeight="1">
      <x:c r="A62" s="86" t="inlineStr">
        <x:is>
          <x:t xml:space="preserve">        If cell.Value &gt; 5 Then</x:t>
        </x:is>
      </x:c>
      <x:c r="B62" s="2" t="n"/>
      <x:c r="C62" s="2" t="n"/>
      <x:c r="D62" s="2" t="n"/>
    </x:row>
    <x:row r="63" s="113" customFormat="1" ht="15.75" customHeight="1">
      <x:c r="A63" s="86" t="inlineStr">
        <x:is>
          <x:t xml:space="preserve">            cell.Font.Bold = True</x:t>
        </x:is>
      </x:c>
      <x:c r="B63" s="2" t="n"/>
      <x:c r="C63" s="2" t="n"/>
      <x:c r="D63" s="2" t="n"/>
    </x:row>
    <x:row r="64" s="113" customFormat="1" ht="15.75" customHeight="1">
      <x:c r="A64" s="86" t="inlineStr">
        <x:is>
          <x:t xml:space="preserve">            cell.Font.Color = RGB(255, 0, 0)</x:t>
        </x:is>
      </x:c>
      <x:c r="B64" s="2" t="n"/>
      <x:c r="C64" s="2" t="n"/>
      <x:c r="D64" s="2" t="n"/>
    </x:row>
    <x:row r="65" s="113" customFormat="1" ht="15.75" customHeight="1">
      <x:c r="A65" s="86" t="inlineStr">
        <x:is>
          <x:t xml:space="preserve">        End If</x:t>
        </x:is>
      </x:c>
      <x:c r="B65" s="2" t="n"/>
      <x:c r="C65" s="2" t="n"/>
      <x:c r="D65" s="2" t="n"/>
    </x:row>
    <x:row r="66" s="113" customFormat="1" ht="15.75" customHeight="1">
      <x:c r="A66" s="86" t="inlineStr">
        <x:is>
          <x:t xml:space="preserve">    Next cell</x:t>
        </x:is>
      </x:c>
      <x:c r="B66" s="2" t="n"/>
      <x:c r="C66" s="2" t="n"/>
      <x:c r="D66" s="2" t="n"/>
    </x:row>
    <x:row r="67" s="113" customFormat="1" ht="15.75" customHeight="1">
      <x:c r="A67" s="86" t="inlineStr">
        <x:is>
          <x:t xml:space="preserve">End Sub</x:t>
        </x:is>
      </x:c>
      <x:c r="B67" s="2" t="n"/>
      <x:c r="C67" s="2" t="n"/>
      <x:c r="D67" s="2" t="n"/>
    </x:row>
    <x:row r="68" s="113" customFormat="1" ht="21.75" customHeight="1">
      <x:c r="A68" s="88" t="inlineStr">
        <x:is>
          <x:t xml:space="preserve">💡 For Each 逐一處理範圍內的每個儲存格</x:t>
        </x:is>
      </x:c>
      <x:c r="B68" s="2" t="n"/>
      <x:c r="C68" s="2" t="n"/>
      <x:c r="D68" s="2" t="n"/>
    </x:row>
    <x:row r="70" s="113" customFormat="1" ht="21.75" customHeight="1">
      <x:c r="A70" s="95" t="inlineStr">
        <x:is>
          <x:t xml:space="preserve">微任務 6：If 條件判斷</x:t>
        </x:is>
      </x:c>
      <x:c r="B70" s="2" t="n"/>
      <x:c r="C70" s="2" t="n"/>
      <x:c r="D70" s="96" t="inlineStr">
        <x:is>
          <x:t xml:space="preserve">⏱ 2 分鐘</x:t>
        </x:is>
      </x:c>
    </x:row>
    <x:row r="71" s="113" customFormat="1" ht="15.75" customHeight="1">
      <x:c r="A71" s="86" t="inlineStr">
        <x:is>
          <x:t xml:space="preserve">Sub IfDemo()</x:t>
        </x:is>
      </x:c>
      <x:c r="B71" s="2" t="n"/>
      <x:c r="C71" s="2" t="n"/>
      <x:c r="D71" s="2" t="n"/>
    </x:row>
    <x:row r="72" s="113" customFormat="1" ht="15.75" customHeight="1">
      <x:c r="A72" s="86" t="inlineStr">
        <x:is>
          <x:t xml:space="preserve">    Dim score As Integer</x:t>
        </x:is>
      </x:c>
      <x:c r="B72" s="2" t="n"/>
      <x:c r="C72" s="2" t="n"/>
      <x:c r="D72" s="2" t="n"/>
    </x:row>
    <x:row r="73" s="113" customFormat="1" ht="15.75" customHeight="1">
      <x:c r="A73" s="86" t="inlineStr">
        <x:is>
          <x:t xml:space="preserve">    score = Range("B1").Value</x:t>
        </x:is>
      </x:c>
      <x:c r="B73" s="2" t="n"/>
      <x:c r="C73" s="2" t="n"/>
      <x:c r="D73" s="2" t="n"/>
    </x:row>
    <x:row r="74" s="113" customFormat="1" ht="15.75" customHeight="1">
      <x:c r="A74" s="86" t="inlineStr">
        <x:is>
          <x:t xml:space="preserve">    </x:t>
        </x:is>
      </x:c>
      <x:c r="B74" s="2" t="n"/>
      <x:c r="C74" s="2" t="n"/>
      <x:c r="D74" s="2" t="n"/>
    </x:row>
    <x:row r="75" s="113" customFormat="1" ht="15.75" customHeight="1">
      <x:c r="A75" s="86" t="inlineStr">
        <x:is>
          <x:t xml:space="preserve">    If score &gt;= 90 Then</x:t>
        </x:is>
      </x:c>
      <x:c r="B75" s="2" t="n"/>
      <x:c r="C75" s="2" t="n"/>
      <x:c r="D75" s="2" t="n"/>
    </x:row>
    <x:row r="76" s="113" customFormat="1" ht="15.75" customHeight="1">
      <x:c r="A76" s="86" t="inlineStr">
        <x:is>
          <x:t xml:space="preserve">        MsgBox "優秀！"</x:t>
        </x:is>
      </x:c>
      <x:c r="B76" s="2" t="n"/>
      <x:c r="C76" s="2" t="n"/>
      <x:c r="D76" s="2" t="n"/>
    </x:row>
    <x:row r="77" s="113" customFormat="1" ht="15.75" customHeight="1">
      <x:c r="A77" s="86" t="inlineStr">
        <x:is>
          <x:t xml:space="preserve">    ElseIf score &gt;= 60 Then</x:t>
        </x:is>
      </x:c>
      <x:c r="B77" s="2" t="n"/>
      <x:c r="C77" s="2" t="n"/>
      <x:c r="D77" s="2" t="n"/>
    </x:row>
    <x:row r="78" s="113" customFormat="1" ht="15.75" customHeight="1">
      <x:c r="A78" s="86" t="inlineStr">
        <x:is>
          <x:t xml:space="preserve">        MsgBox "及格"</x:t>
        </x:is>
      </x:c>
      <x:c r="B78" s="2" t="n"/>
      <x:c r="C78" s="2" t="n"/>
      <x:c r="D78" s="2" t="n"/>
    </x:row>
    <x:row r="79" s="113" customFormat="1" ht="15.75" customHeight="1">
      <x:c r="A79" s="86" t="inlineStr">
        <x:is>
          <x:t xml:space="preserve">    Else</x:t>
        </x:is>
      </x:c>
      <x:c r="B79" s="2" t="n"/>
      <x:c r="C79" s="2" t="n"/>
      <x:c r="D79" s="2" t="n"/>
    </x:row>
    <x:row r="80" s="113" customFormat="1" ht="15.75" customHeight="1">
      <x:c r="A80" s="86" t="inlineStr">
        <x:is>
          <x:t xml:space="preserve">        MsgBox "需要加油"</x:t>
        </x:is>
      </x:c>
      <x:c r="B80" s="2" t="n"/>
      <x:c r="C80" s="2" t="n"/>
      <x:c r="D80" s="2" t="n"/>
    </x:row>
    <x:row r="81" s="113" customFormat="1" ht="15.75" customHeight="1">
      <x:c r="A81" s="86" t="inlineStr">
        <x:is>
          <x:t xml:space="preserve">    End If</x:t>
        </x:is>
      </x:c>
      <x:c r="B81" s="2" t="n"/>
      <x:c r="C81" s="2" t="n"/>
      <x:c r="D81" s="2" t="n"/>
    </x:row>
    <x:row r="82" s="113" customFormat="1" ht="15.75" customHeight="1">
      <x:c r="A82" s="86" t="inlineStr">
        <x:is>
          <x:t xml:space="preserve">End Sub</x:t>
        </x:is>
      </x:c>
      <x:c r="B82" s="2" t="n"/>
      <x:c r="C82" s="2" t="n"/>
      <x:c r="D82" s="2" t="n"/>
    </x:row>
    <x:row r="83" s="113" customFormat="1" ht="21.75" customHeight="1">
      <x:c r="A83" s="88" t="inlineStr">
        <x:is>
          <x:t xml:space="preserve">💡 If / ElseIf / Else / End If 完整條件架構</x:t>
        </x:is>
      </x:c>
      <x:c r="B83" s="2" t="n"/>
      <x:c r="C83" s="2" t="n"/>
      <x:c r="D83" s="2" t="n"/>
    </x:row>
    <x:row r="85" s="113" customFormat="1" ht="21.75" customHeight="1">
      <x:c r="A85" s="95" t="inlineStr">
        <x:is>
          <x:t xml:space="preserve">微任務 7：Do While 迴圈</x:t>
        </x:is>
      </x:c>
      <x:c r="B85" s="2" t="n"/>
      <x:c r="C85" s="2" t="n"/>
      <x:c r="D85" s="96" t="inlineStr">
        <x:is>
          <x:t xml:space="preserve">⏱ 3 分鐘</x:t>
        </x:is>
      </x:c>
    </x:row>
    <x:row r="86" s="113" customFormat="1" ht="15.75" customHeight="1">
      <x:c r="A86" s="86" t="inlineStr">
        <x:is>
          <x:t xml:space="preserve">Sub DoWhileDemo()</x:t>
        </x:is>
      </x:c>
      <x:c r="B86" s="2" t="n"/>
      <x:c r="C86" s="2" t="n"/>
      <x:c r="D86" s="2" t="n"/>
    </x:row>
    <x:row r="87" s="113" customFormat="1" ht="15.75" customHeight="1">
      <x:c r="A87" s="86" t="inlineStr">
        <x:is>
          <x:t xml:space="preserve">    Dim r As Long</x:t>
        </x:is>
      </x:c>
      <x:c r="B87" s="2" t="n"/>
      <x:c r="C87" s="2" t="n"/>
      <x:c r="D87" s="2" t="n"/>
    </x:row>
    <x:row r="88" s="113" customFormat="1" ht="15.75" customHeight="1">
      <x:c r="A88" s="86" t="inlineStr">
        <x:is>
          <x:t xml:space="preserve">    r = 1</x:t>
        </x:is>
      </x:c>
      <x:c r="B88" s="2" t="n"/>
      <x:c r="C88" s="2" t="n"/>
      <x:c r="D88" s="2" t="n"/>
    </x:row>
    <x:row r="89" s="113" customFormat="1" ht="15.75" customHeight="1">
      <x:c r="A89" s="86" t="inlineStr">
        <x:is>
          <x:t xml:space="preserve">    ' 讀取 A 欄直到空白為止</x:t>
        </x:is>
      </x:c>
      <x:c r="B89" s="2" t="n"/>
      <x:c r="C89" s="2" t="n"/>
      <x:c r="D89" s="2" t="n"/>
    </x:row>
    <x:row r="90" s="113" customFormat="1" ht="15.75" customHeight="1">
      <x:c r="A90" s="86" t="inlineStr">
        <x:is>
          <x:t xml:space="preserve">    Do While Cells(r, 1).Value &lt;&gt; ""</x:t>
        </x:is>
      </x:c>
      <x:c r="B90" s="2" t="n"/>
      <x:c r="C90" s="2" t="n"/>
      <x:c r="D90" s="2" t="n"/>
    </x:row>
    <x:row r="91" s="113" customFormat="1" ht="15.75" customHeight="1">
      <x:c r="A91" s="86" t="inlineStr">
        <x:is>
          <x:t xml:space="preserve">        Cells(r, 2).Value = Len(Cells(r, 1).Value)</x:t>
        </x:is>
      </x:c>
      <x:c r="B91" s="2" t="n"/>
      <x:c r="C91" s="2" t="n"/>
      <x:c r="D91" s="2" t="n"/>
    </x:row>
    <x:row r="92" s="113" customFormat="1" ht="15.75" customHeight="1">
      <x:c r="A92" s="86" t="inlineStr">
        <x:is>
          <x:t xml:space="preserve">        r = r + 1</x:t>
        </x:is>
      </x:c>
      <x:c r="B92" s="2" t="n"/>
      <x:c r="C92" s="2" t="n"/>
      <x:c r="D92" s="2" t="n"/>
    </x:row>
    <x:row r="93" s="113" customFormat="1" ht="15.75" customHeight="1">
      <x:c r="A93" s="86" t="inlineStr">
        <x:is>
          <x:t xml:space="preserve">    Loop</x:t>
        </x:is>
      </x:c>
      <x:c r="B93" s="2" t="n"/>
      <x:c r="C93" s="2" t="n"/>
      <x:c r="D93" s="2" t="n"/>
    </x:row>
    <x:row r="94" s="113" customFormat="1" ht="15.75" customHeight="1">
      <x:c r="A94" s="86" t="inlineStr">
        <x:is>
          <x:t xml:space="preserve">    MsgBox "處理了 " &amp; (r - 1) &amp; " 列"</x:t>
        </x:is>
      </x:c>
      <x:c r="B94" s="2" t="n"/>
      <x:c r="C94" s="2" t="n"/>
      <x:c r="D94" s="2" t="n"/>
    </x:row>
    <x:row r="95" s="113" customFormat="1" ht="15.75" customHeight="1">
      <x:c r="A95" s="86" t="inlineStr">
        <x:is>
          <x:t xml:space="preserve">End Sub</x:t>
        </x:is>
      </x:c>
      <x:c r="B95" s="2" t="n"/>
      <x:c r="C95" s="2" t="n"/>
      <x:c r="D95" s="2" t="n"/>
    </x:row>
    <x:row r="96" s="113" customFormat="1" ht="21.75" customHeight="1">
      <x:c r="A96" s="88" t="inlineStr">
        <x:is>
          <x:t xml:space="preserve">💡 Do While 條件成立就繼續。適合不知道幾筆資料時</x:t>
        </x:is>
      </x:c>
      <x:c r="B96" s="2" t="n"/>
      <x:c r="C96" s="2" t="n"/>
      <x:c r="D96" s="2" t="n"/>
    </x:row>
    <x:row r="98" s="113" customFormat="1" ht="21.75" customHeight="1">
      <x:c r="A98" s="95" t="inlineStr">
        <x:is>
          <x:t xml:space="preserve">微任務 8：Sub 與 Function</x:t>
        </x:is>
      </x:c>
      <x:c r="B98" s="2" t="n"/>
      <x:c r="C98" s="2" t="n"/>
      <x:c r="D98" s="96" t="inlineStr">
        <x:is>
          <x:t xml:space="preserve">⏱ 3 分鐘</x:t>
        </x:is>
      </x:c>
    </x:row>
    <x:row r="99" s="113" customFormat="1" ht="15.75" customHeight="1">
      <x:c r="A99" s="86" t="inlineStr">
        <x:is>
          <x:t xml:space="preserve">Function CalcBonus(salary As Double, score As Integer) As Double</x:t>
        </x:is>
      </x:c>
      <x:c r="B99" s="2" t="n"/>
      <x:c r="C99" s="2" t="n"/>
      <x:c r="D99" s="2" t="n"/>
    </x:row>
    <x:row r="100" s="113" customFormat="1" ht="15.75" customHeight="1">
      <x:c r="A100" s="86" t="inlineStr">
        <x:is>
          <x:t xml:space="preserve">    If score &gt;= 90 Then</x:t>
        </x:is>
      </x:c>
      <x:c r="B100" s="2" t="n"/>
      <x:c r="C100" s="2" t="n"/>
      <x:c r="D100" s="2" t="n"/>
    </x:row>
    <x:row r="101" s="113" customFormat="1" ht="15.75" customHeight="1">
      <x:c r="A101" s="86" t="inlineStr">
        <x:is>
          <x:t xml:space="preserve">        CalcBonus = salary * 3</x:t>
        </x:is>
      </x:c>
      <x:c r="B101" s="2" t="n"/>
      <x:c r="C101" s="2" t="n"/>
      <x:c r="D101" s="2" t="n"/>
    </x:row>
    <x:row r="102" s="113" customFormat="1" ht="15.75" customHeight="1">
      <x:c r="A102" s="86" t="inlineStr">
        <x:is>
          <x:t xml:space="preserve">    ElseIf score &gt;= 75 Then</x:t>
        </x:is>
      </x:c>
      <x:c r="B102" s="2" t="n"/>
      <x:c r="C102" s="2" t="n"/>
      <x:c r="D102" s="2" t="n"/>
    </x:row>
    <x:row r="103" s="113" customFormat="1" ht="15.75" customHeight="1">
      <x:c r="A103" s="86" t="inlineStr">
        <x:is>
          <x:t xml:space="preserve">        CalcBonus = salary * 2</x:t>
        </x:is>
      </x:c>
      <x:c r="B103" s="2" t="n"/>
      <x:c r="C103" s="2" t="n"/>
      <x:c r="D103" s="2" t="n"/>
    </x:row>
    <x:row r="104" s="113" customFormat="1" ht="15.75" customHeight="1">
      <x:c r="A104" s="86" t="inlineStr">
        <x:is>
          <x:t xml:space="preserve">    Else</x:t>
        </x:is>
      </x:c>
      <x:c r="B104" s="2" t="n"/>
      <x:c r="C104" s="2" t="n"/>
      <x:c r="D104" s="2" t="n"/>
    </x:row>
    <x:row r="105" s="113" customFormat="1" ht="15.75" customHeight="1">
      <x:c r="A105" s="86" t="inlineStr">
        <x:is>
          <x:t xml:space="preserve">        CalcBonus = salary * 1</x:t>
        </x:is>
      </x:c>
      <x:c r="B105" s="2" t="n"/>
      <x:c r="C105" s="2" t="n"/>
      <x:c r="D105" s="2" t="n"/>
    </x:row>
    <x:row r="106" s="113" customFormat="1" ht="15.75" customHeight="1">
      <x:c r="A106" s="86" t="inlineStr">
        <x:is>
          <x:t xml:space="preserve">    End If</x:t>
        </x:is>
      </x:c>
      <x:c r="B106" s="2" t="n"/>
      <x:c r="C106" s="2" t="n"/>
      <x:c r="D106" s="2" t="n"/>
    </x:row>
    <x:row r="107" s="113" customFormat="1" ht="15.75" customHeight="1">
      <x:c r="A107" s="86" t="inlineStr">
        <x:is>
          <x:t xml:space="preserve">End Function</x:t>
        </x:is>
      </x:c>
      <x:c r="B107" s="2" t="n"/>
      <x:c r="C107" s="2" t="n"/>
      <x:c r="D107" s="2" t="n"/>
    </x:row>
    <x:row r="108" s="113" customFormat="1" ht="15.75" customHeight="1">
      <x:c r="A108" s="86" t="n"/>
      <x:c r="B108" s="2" t="n"/>
      <x:c r="C108" s="2" t="n"/>
      <x:c r="D108" s="2" t="n"/>
    </x:row>
    <x:row r="109" s="113" customFormat="1" ht="15.75" customHeight="1">
      <x:c r="A109" s="86" t="inlineStr">
        <x:is>
          <x:t xml:space="preserve">Sub TestBonus()</x:t>
        </x:is>
      </x:c>
      <x:c r="B109" s="2" t="n"/>
      <x:c r="C109" s="2" t="n"/>
      <x:c r="D109" s="2" t="n"/>
    </x:row>
    <x:row r="110" s="113" customFormat="1" ht="15.75" customHeight="1">
      <x:c r="A110" s="86" t="inlineStr">
        <x:is>
          <x:t xml:space="preserve">    MsgBox "獎金 = " &amp; CalcBonus(50000, 92)</x:t>
        </x:is>
      </x:c>
      <x:c r="B110" s="2" t="n"/>
      <x:c r="C110" s="2" t="n"/>
      <x:c r="D110" s="2" t="n"/>
    </x:row>
    <x:row r="111" s="113" customFormat="1" ht="15.75" customHeight="1">
      <x:c r="A111" s="86" t="inlineStr">
        <x:is>
          <x:t xml:space="preserve">End Sub</x:t>
        </x:is>
      </x:c>
      <x:c r="B111" s="2" t="n"/>
      <x:c r="C111" s="2" t="n"/>
      <x:c r="D111" s="2" t="n"/>
    </x:row>
    <x:row r="112" s="113" customFormat="1" ht="21.75" customHeight="1">
      <x:c r="A112" s="88" t="inlineStr">
        <x:is>
          <x:t xml:space="preserve">💡 Function 可以回傳值，也能在儲存格當公式用！</x:t>
        </x:is>
      </x:c>
      <x:c r="B112" s="2" t="n"/>
      <x:c r="C112" s="2" t="n"/>
      <x:c r="D112" s="2" t="n"/>
    </x:row>
    <x:row r="114" s="113" customFormat="1" ht="21.75" customHeight="1">
      <x:c r="A114" s="95" t="inlineStr">
        <x:is>
          <x:t xml:space="preserve">微任務 9：格式化表格（實用模板）</x:t>
        </x:is>
      </x:c>
      <x:c r="B114" s="2" t="n"/>
      <x:c r="C114" s="2" t="n"/>
      <x:c r="D114" s="96" t="inlineStr">
        <x:is>
          <x:t xml:space="preserve">⏱ 3 分鐘</x:t>
        </x:is>
      </x:c>
    </x:row>
    <x:row r="115" s="113" customFormat="1" ht="15.75" customHeight="1">
      <x:c r="A115" s="86" t="inlineStr">
        <x:is>
          <x:t xml:space="preserve">Sub FormatTable()</x:t>
        </x:is>
      </x:c>
      <x:c r="B115" s="2" t="n"/>
      <x:c r="C115" s="2" t="n"/>
      <x:c r="D115" s="2" t="n"/>
    </x:row>
    <x:row r="116" s="113" customFormat="1" ht="15.75" customHeight="1">
      <x:c r="A116" s="86" t="inlineStr">
        <x:is>
          <x:t xml:space="preserve">    With ActiveSheet.UsedRange</x:t>
        </x:is>
      </x:c>
      <x:c r="B116" s="2" t="n"/>
      <x:c r="C116" s="2" t="n"/>
      <x:c r="D116" s="2" t="n"/>
    </x:row>
    <x:row r="117" s="113" customFormat="1" ht="15.75" customHeight="1">
      <x:c r="A117" s="86" t="inlineStr">
        <x:is>
          <x:t xml:space="preserve">        .Borders.LineStyle = xlContinuous</x:t>
        </x:is>
      </x:c>
      <x:c r="B117" s="2" t="n"/>
      <x:c r="C117" s="2" t="n"/>
      <x:c r="D117" s="2" t="n"/>
    </x:row>
    <x:row r="118" s="113" customFormat="1" ht="15.75" customHeight="1">
      <x:c r="A118" s="86" t="inlineStr">
        <x:is>
          <x:t xml:space="preserve">        .Font.Name = "Arial"</x:t>
        </x:is>
      </x:c>
      <x:c r="B118" s="2" t="n"/>
      <x:c r="C118" s="2" t="n"/>
      <x:c r="D118" s="2" t="n"/>
    </x:row>
    <x:row r="119" s="113" customFormat="1" ht="15.75" customHeight="1">
      <x:c r="A119" s="86" t="inlineStr">
        <x:is>
          <x:t xml:space="preserve">        .Font.Size = 10</x:t>
        </x:is>
      </x:c>
      <x:c r="B119" s="2" t="n"/>
      <x:c r="C119" s="2" t="n"/>
      <x:c r="D119" s="2" t="n"/>
    </x:row>
    <x:row r="120" s="113" customFormat="1" ht="15.75" customHeight="1">
      <x:c r="A120" s="86" t="inlineStr">
        <x:is>
          <x:t xml:space="preserve">    End With</x:t>
        </x:is>
      </x:c>
      <x:c r="B120" s="2" t="n"/>
      <x:c r="C120" s="2" t="n"/>
      <x:c r="D120" s="2" t="n"/>
    </x:row>
    <x:row r="121" s="113" customFormat="1" ht="15.75" customHeight="1">
      <x:c r="A121" s="86" t="inlineStr">
        <x:is>
          <x:t xml:space="preserve">    With Rows(1)</x:t>
        </x:is>
      </x:c>
      <x:c r="B121" s="2" t="n"/>
      <x:c r="C121" s="2" t="n"/>
      <x:c r="D121" s="2" t="n"/>
    </x:row>
    <x:row r="122" s="113" customFormat="1" ht="15.75" customHeight="1">
      <x:c r="A122" s="86" t="inlineStr">
        <x:is>
          <x:t xml:space="preserve">        .Font.Bold = True</x:t>
        </x:is>
      </x:c>
      <x:c r="B122" s="2" t="n"/>
      <x:c r="C122" s="2" t="n"/>
      <x:c r="D122" s="2" t="n"/>
    </x:row>
    <x:row r="123" s="113" customFormat="1" ht="15.75" customHeight="1">
      <x:c r="A123" s="86" t="inlineStr">
        <x:is>
          <x:t xml:space="preserve">        .Font.Color = RGB(255, 255, 255)</x:t>
        </x:is>
      </x:c>
      <x:c r="B123" s="2" t="n"/>
      <x:c r="C123" s="2" t="n"/>
      <x:c r="D123" s="2" t="n"/>
    </x:row>
    <x:row r="124" s="113" customFormat="1" ht="15.75" customHeight="1">
      <x:c r="A124" s="86" t="inlineStr">
        <x:is>
          <x:t xml:space="preserve">        .Interior.Color = RGB(47, 84, 150)</x:t>
        </x:is>
      </x:c>
      <x:c r="B124" s="2" t="n"/>
      <x:c r="C124" s="2" t="n"/>
      <x:c r="D124" s="2" t="n"/>
    </x:row>
    <x:row r="125" s="113" customFormat="1" ht="15.75" customHeight="1">
      <x:c r="A125" s="86" t="inlineStr">
        <x:is>
          <x:t xml:space="preserve">    End With</x:t>
        </x:is>
      </x:c>
      <x:c r="B125" s="2" t="n"/>
      <x:c r="C125" s="2" t="n"/>
      <x:c r="D125" s="2" t="n"/>
    </x:row>
    <x:row r="126" s="113" customFormat="1" ht="15.75" customHeight="1">
      <x:c r="A126" s="86" t="inlineStr">
        <x:is>
          <x:t xml:space="preserve">    Cells.EntireColumn.AutoFit</x:t>
        </x:is>
      </x:c>
      <x:c r="B126" s="2" t="n"/>
      <x:c r="C126" s="2" t="n"/>
      <x:c r="D126" s="2" t="n"/>
    </x:row>
    <x:row r="127" s="113" customFormat="1" ht="15.75" customHeight="1">
      <x:c r="A127" s="86" t="inlineStr">
        <x:is>
          <x:t xml:space="preserve">End Sub</x:t>
        </x:is>
      </x:c>
      <x:c r="B127" s="2" t="n"/>
      <x:c r="C127" s="2" t="n"/>
      <x:c r="D127" s="2" t="n"/>
    </x:row>
    <x:row r="128" s="113" customFormat="1" ht="21.75" customHeight="1">
      <x:c r="A128" s="88" t="inlineStr">
        <x:is>
          <x:t xml:space="preserve">💡 With ... End With 減少重複寫物件名稱</x:t>
        </x:is>
      </x:c>
      <x:c r="B128" s="2" t="n"/>
      <x:c r="C128" s="2" t="n"/>
      <x:c r="D128" s="2" t="n"/>
    </x:row>
    <x:row r="130" s="113" customFormat="1" ht="21.75" customHeight="1">
      <x:c r="A130" s="95" t="inlineStr">
        <x:is>
          <x:t xml:space="preserve">微任務 10：刪除空白列（資料清洗）</x:t>
        </x:is>
      </x:c>
      <x:c r="B130" s="2" t="n"/>
      <x:c r="C130" s="2" t="n"/>
      <x:c r="D130" s="96" t="inlineStr">
        <x:is>
          <x:t xml:space="preserve">⏱ 3 分鐘</x:t>
        </x:is>
      </x:c>
    </x:row>
    <x:row r="131" s="113" customFormat="1" ht="15.75" customHeight="1">
      <x:c r="A131" s="86" t="inlineStr">
        <x:is>
          <x:t xml:space="preserve">Sub DeleteEmptyRows()</x:t>
        </x:is>
      </x:c>
      <x:c r="B131" s="2" t="n"/>
      <x:c r="C131" s="2" t="n"/>
      <x:c r="D131" s="2" t="n"/>
    </x:row>
    <x:row r="132" s="113" customFormat="1" ht="15.75" customHeight="1">
      <x:c r="A132" s="86" t="inlineStr">
        <x:is>
          <x:t xml:space="preserve">    Dim i As Long</x:t>
        </x:is>
      </x:c>
      <x:c r="B132" s="2" t="n"/>
      <x:c r="C132" s="2" t="n"/>
      <x:c r="D132" s="2" t="n"/>
    </x:row>
    <x:row r="133" s="113" customFormat="1" ht="15.75" customHeight="1">
      <x:c r="A133" s="86" t="inlineStr">
        <x:is>
          <x:t xml:space="preserve">    For i = ActiveSheet.UsedRange.Rows.Count To 1 Step -1</x:t>
        </x:is>
      </x:c>
      <x:c r="B133" s="2" t="n"/>
      <x:c r="C133" s="2" t="n"/>
      <x:c r="D133" s="2" t="n"/>
    </x:row>
    <x:row r="134" s="113" customFormat="1" ht="15.75" customHeight="1">
      <x:c r="A134" s="86" t="inlineStr">
        <x:is>
          <x:t xml:space="preserve">        If WorksheetFunction.CountA(Rows(i)) = 0 Then</x:t>
        </x:is>
      </x:c>
      <x:c r="B134" s="2" t="n"/>
      <x:c r="C134" s="2" t="n"/>
      <x:c r="D134" s="2" t="n"/>
    </x:row>
    <x:row r="135" s="113" customFormat="1" ht="15.75" customHeight="1">
      <x:c r="A135" s="86" t="inlineStr">
        <x:is>
          <x:t xml:space="preserve">            Rows(i).Delete</x:t>
        </x:is>
      </x:c>
      <x:c r="B135" s="2" t="n"/>
      <x:c r="C135" s="2" t="n"/>
      <x:c r="D135" s="2" t="n"/>
    </x:row>
    <x:row r="136" s="113" customFormat="1" ht="15.75" customHeight="1">
      <x:c r="A136" s="86" t="inlineStr">
        <x:is>
          <x:t xml:space="preserve">        End If</x:t>
        </x:is>
      </x:c>
      <x:c r="B136" s="2" t="n"/>
      <x:c r="C136" s="2" t="n"/>
      <x:c r="D136" s="2" t="n"/>
    </x:row>
    <x:row r="137" s="113" customFormat="1" ht="15.75" customHeight="1">
      <x:c r="A137" s="86" t="inlineStr">
        <x:is>
          <x:t xml:space="preserve">    Next i</x:t>
        </x:is>
      </x:c>
      <x:c r="B137" s="2" t="n"/>
      <x:c r="C137" s="2" t="n"/>
      <x:c r="D137" s="2" t="n"/>
    </x:row>
    <x:row r="138" s="113" customFormat="1" ht="15.75" customHeight="1">
      <x:c r="A138" s="86" t="inlineStr">
        <x:is>
          <x:t xml:space="preserve">    MsgBox "空白列已清除"</x:t>
        </x:is>
      </x:c>
      <x:c r="B138" s="2" t="n"/>
      <x:c r="C138" s="2" t="n"/>
      <x:c r="D138" s="2" t="n"/>
    </x:row>
    <x:row r="139" s="113" customFormat="1" ht="15.75" customHeight="1">
      <x:c r="A139" s="86" t="inlineStr">
        <x:is>
          <x:t xml:space="preserve">End Sub</x:t>
        </x:is>
      </x:c>
      <x:c r="B139" s="2" t="n"/>
      <x:c r="C139" s="2" t="n"/>
      <x:c r="D139" s="2" t="n"/>
    </x:row>
    <x:row r="140" s="113" customFormat="1" ht="21.75" customHeight="1">
      <x:c r="A140" s="87" t="inlineStr">
        <x:is>
          <x:t xml:space="preserve">💡 從最後一列往上刪，避免索引錯亂</x:t>
        </x:is>
      </x:c>
      <x:c r="B140" s="2" t="n"/>
      <x:c r="C140" s="2" t="n"/>
      <x:c r="D140" s="2" t="n"/>
    </x:row>
    <x:row r="143" s="113" customFormat="1" ht="30" customHeight="1">
      <x:c r="A143" s="89" t="inlineStr">
        <x:is>
          <x:t xml:space="preserve">🎯 動手練習（做完打 ✓，難度漸進！）</x:t>
        </x:is>
      </x:c>
      <x:c r="B143" s="11" t="n"/>
      <x:c r="C143" s="11" t="n"/>
      <x:c r="D143" s="12" t="n"/>
    </x:row>
    <x:row r="144" s="113" customFormat="1" ht="15.199999809265137" customHeight="1">
      <x:c r="A144" s="13" t="inlineStr">
        <x:is>
          <x:t xml:space="preserve">#</x:t>
        </x:is>
      </x:c>
      <x:c r="B144" s="13" t="inlineStr">
        <x:is>
          <x:t xml:space="preserve">✓</x:t>
        </x:is>
      </x:c>
      <x:c r="C144" s="13" t="inlineStr">
        <x:is>
          <x:t xml:space="preserve">難度</x:t>
        </x:is>
      </x:c>
      <x:c r="D144" s="13" t="inlineStr">
        <x:is>
          <x:t xml:space="preserve">任務描述</x:t>
        </x:is>
      </x:c>
    </x:row>
    <x:row r="145" s="113" customFormat="1" ht="36" customHeight="1">
      <x:c r="A145" s="14" t="n">
        <x:v>1</x:v>
      </x:c>
      <x:c r="B145" s="15" t="inlineStr">
        <x:is>
          <x:t xml:space="preserve">□</x:t>
        </x:is>
      </x:c>
      <x:c r="C145" s="14" t="inlineStr">
        <x:is>
          <x:t xml:space="preserve">🟢 暖身</x:t>
        </x:is>
      </x:c>
      <x:c r="D145" s="17" t="inlineStr">
        <x:is>
          <x:t xml:space="preserve">開啟 VBE（工具→巨集→Visual Basic 編輯器）→ 插入模組 → 輸入 Sub Hello() / MsgBox "Hello" / End Sub → F5 執行</x:t>
        </x:is>
      </x:c>
    </x:row>
    <x:row r="146" s="113" customFormat="1" ht="36" customHeight="1">
      <x:c r="A146" s="14" t="n">
        <x:v>2</x:v>
      </x:c>
      <x:c r="B146" s="15" t="inlineStr">
        <x:is>
          <x:t xml:space="preserve">□</x:t>
        </x:is>
      </x:c>
      <x:c r="C146" s="14" t="inlineStr">
        <x:is>
          <x:t xml:space="preserve">🟢 暖身</x:t>
        </x:is>
      </x:c>
      <x:c r="D146" s="17" t="inlineStr">
        <x:is>
          <x:t xml:space="preserve">宣告變數：Dim name As String → name = Range("A1").Value → MsgBox name。觀察 A1 的值是否正確顯示</x:t>
        </x:is>
      </x:c>
    </x:row>
    <x:row r="147" s="113" customFormat="1" ht="36" customHeight="1">
      <x:c r="A147" s="18" t="n">
        <x:v>3</x:v>
      </x:c>
      <x:c r="B147" s="19" t="inlineStr">
        <x:is>
          <x:t xml:space="preserve">□</x:t>
        </x:is>
      </x:c>
      <x:c r="C147" s="18" t="inlineStr">
        <x:is>
          <x:t xml:space="preserve">🔵 標準</x:t>
        </x:is>
      </x:c>
      <x:c r="D147" s="21" t="inlineStr">
        <x:is>
          <x:t xml:space="preserve">寫一個 For 迴圈：在 A1:A10 填入 1~10，並用 Interior.Color 幫偶數列加底色</x:t>
        </x:is>
      </x:c>
    </x:row>
    <x:row r="148" s="113" customFormat="1" ht="36" customHeight="1">
      <x:c r="A148" s="18" t="n">
        <x:v>4</x:v>
      </x:c>
      <x:c r="B148" s="19" t="inlineStr">
        <x:is>
          <x:t xml:space="preserve">□</x:t>
        </x:is>
      </x:c>
      <x:c r="C148" s="18" t="inlineStr">
        <x:is>
          <x:t xml:space="preserve">🔵 標準</x:t>
        </x:is>
      </x:c>
      <x:c r="D148" s="21" t="inlineStr">
        <x:is>
          <x:t xml:space="preserve">寫一個 If 判斷：讀取 B1 的分數，&gt;=90 顯示「優秀」，&gt;=60「及格」，其他「加油」</x:t>
        </x:is>
      </x:c>
    </x:row>
    <x:row r="149" s="113" customFormat="1" ht="36" customHeight="1">
      <x:c r="A149" s="22" t="n">
        <x:v>5</x:v>
      </x:c>
      <x:c r="B149" s="23" t="inlineStr">
        <x:is>
          <x:t xml:space="preserve">□</x:t>
        </x:is>
      </x:c>
      <x:c r="C149" s="22" t="inlineStr">
        <x:is>
          <x:t xml:space="preserve">🟡 變化</x:t>
        </x:is>
      </x:c>
      <x:c r="D149" s="25" t="inlineStr">
        <x:is>
          <x:t xml:space="preserve">用 For Each 遍歷 A1:A20，把所有大於 50000 的儲存格字體改為紅色粗體</x:t>
        </x:is>
      </x:c>
    </x:row>
    <x:row r="150" s="113" customFormat="1" ht="36" customHeight="1">
      <x:c r="A150" s="22" t="n">
        <x:v>6</x:v>
      </x:c>
      <x:c r="B150" s="23" t="inlineStr">
        <x:is>
          <x:t xml:space="preserve">□</x:t>
        </x:is>
      </x:c>
      <x:c r="C150" s="22" t="inlineStr">
        <x:is>
          <x:t xml:space="preserve">🟡 變化</x:t>
        </x:is>
      </x:c>
      <x:c r="D150" s="25" t="inlineStr">
        <x:is>
          <x:t xml:space="preserve">寫一個 Function：CalcTax(income)，收入 &gt; 50000 稅率 20%，否則 10%，回傳稅額。在儲存格用 =CalcTax(A1) 測試</x:t>
        </x:is>
      </x:c>
    </x:row>
    <x:row r="151" s="113" customFormat="1" ht="36" customHeight="1">
      <x:c r="A151" s="26" t="n">
        <x:v>7</x:v>
      </x:c>
      <x:c r="B151" s="27" t="inlineStr">
        <x:is>
          <x:t xml:space="preserve">□</x:t>
        </x:is>
      </x:c>
      <x:c r="C151" s="26" t="inlineStr">
        <x:is>
          <x:t xml:space="preserve">🔴 挑戰</x:t>
        </x:is>
      </x:c>
      <x:c r="D151" s="29" t="inlineStr">
        <x:is>
          <x:t xml:space="preserve">寫一個完整的 Sub：讀取整個 UsedRange 到陣列 → 迴圈處理 → 寫回另一欄。比較跟逐格操作的速度差異</x:t>
        </x:is>
      </x:c>
    </x:row>
    <x:row r="152" s="113" customFormat="1" ht="36" customHeight="1">
      <x:c r="A152" s="26" t="n">
        <x:v>8</x:v>
      </x:c>
      <x:c r="B152" s="27" t="inlineStr">
        <x:is>
          <x:t xml:space="preserve">□</x:t>
        </x:is>
      </x:c>
      <x:c r="C152" s="26" t="inlineStr">
        <x:is>
          <x:t xml:space="preserve">🔴 挑戰</x:t>
        </x:is>
      </x:c>
      <x:c r="D152" s="29" t="inlineStr">
        <x:is>
          <x:t xml:space="preserve">加上錯誤處理：On Error GoTo ErrHandler → 主邏輯 → CleanUp 段。故意製造一個錯誤測試是否正確跳轉</x:t>
        </x:is>
      </x:c>
    </x:row>
  </x:sheetData>
  <x:mergeCells>
    <x:mergeCell ref="A122:D122"/>
    <x:mergeCell ref="A20:D20"/>
    <x:mergeCell ref="A72:D72"/>
    <x:mergeCell ref="A29:D29"/>
    <x:mergeCell ref="A134:D134"/>
    <x:mergeCell ref="A81:D81"/>
    <x:mergeCell ref="A112:D112"/>
    <x:mergeCell ref="A121:D121"/>
    <x:mergeCell ref="A13:D13"/>
    <x:mergeCell ref="A64:D64"/>
    <x:mergeCell ref="A24:D24"/>
    <x:mergeCell ref="A73:D73"/>
    <x:mergeCell ref="A51:D51"/>
    <x:mergeCell ref="A107:D107"/>
    <x:mergeCell ref="A60:D60"/>
    <x:mergeCell ref="B6:D6"/>
    <x:mergeCell ref="A124:D124"/>
    <x:mergeCell ref="A54:D54"/>
    <x:mergeCell ref="A130:C130"/>
    <x:mergeCell ref="A41:D41"/>
    <x:mergeCell ref="A99:D99"/>
    <x:mergeCell ref="A108:D108"/>
    <x:mergeCell ref="A56:D56"/>
    <x:mergeCell ref="A27:D27"/>
    <x:mergeCell ref="A101:D101"/>
    <x:mergeCell ref="A2:D2"/>
    <x:mergeCell ref="A33:D33"/>
    <x:mergeCell ref="A42:D42"/>
    <x:mergeCell ref="A17:D17"/>
    <x:mergeCell ref="A126:D126"/>
    <x:mergeCell ref="A22:D22"/>
    <x:mergeCell ref="A53:D53"/>
    <x:mergeCell ref="A35:D35"/>
    <x:mergeCell ref="A135:D135"/>
    <x:mergeCell ref="B8:D8"/>
    <x:mergeCell ref="A62:D62"/>
    <x:mergeCell ref="A125:D125"/>
    <x:mergeCell ref="A19:D19"/>
    <x:mergeCell ref="A28:D28"/>
    <x:mergeCell ref="A117:D117"/>
    <x:mergeCell ref="A111:D111"/>
    <x:mergeCell ref="A127:D127"/>
    <x:mergeCell ref="A32:C32"/>
    <x:mergeCell ref="A48:D48"/>
    <x:mergeCell ref="A30:D30"/>
    <x:mergeCell ref="A59:D59"/>
    <x:mergeCell ref="A11:D11"/>
    <x:mergeCell ref="B5:D5"/>
    <x:mergeCell ref="A79:D79"/>
    <x:mergeCell ref="A61:D61"/>
    <x:mergeCell ref="A88:D88"/>
    <x:mergeCell ref="A58:C58"/>
    <x:mergeCell ref="A128:D128"/>
    <x:mergeCell ref="A137:D137"/>
    <x:mergeCell ref="A46:D46"/>
    <x:mergeCell ref="A90:D90"/>
    <x:mergeCell ref="A136:D136"/>
    <x:mergeCell ref="A74:D74"/>
    <x:mergeCell ref="A105:D105"/>
    <x:mergeCell ref="A26:D26"/>
    <x:mergeCell ref="A139:D139"/>
    <x:mergeCell ref="A71:D71"/>
    <x:mergeCell ref="A76:D76"/>
    <x:mergeCell ref="A16:C16"/>
    <x:mergeCell ref="A116:D116"/>
    <x:mergeCell ref="A91:D91"/>
    <x:mergeCell ref="A131:D131"/>
    <x:mergeCell ref="A100:D100"/>
    <x:mergeCell ref="A140:D140"/>
    <x:mergeCell ref="A109:D109"/>
    <x:mergeCell ref="A52:D52"/>
    <x:mergeCell ref="A63:D63"/>
    <x:mergeCell ref="A115:D115"/>
    <x:mergeCell ref="A93:D93"/>
    <x:mergeCell ref="A68:D68"/>
    <x:mergeCell ref="A102:D102"/>
    <x:mergeCell ref="A77:D77"/>
    <x:mergeCell ref="A34:D34"/>
    <x:mergeCell ref="A83:D83"/>
    <x:mergeCell ref="A143:D143"/>
    <x:mergeCell ref="A92:D92"/>
    <x:mergeCell ref="A39:D39"/>
    <x:mergeCell ref="A49:D49"/>
    <x:mergeCell ref="A36:D36"/>
    <x:mergeCell ref="A1:D1"/>
    <x:mergeCell ref="A94:D94"/>
    <x:mergeCell ref="A103:D103"/>
    <x:mergeCell ref="A78:D78"/>
    <x:mergeCell ref="A87:D87"/>
    <x:mergeCell ref="A65:D65"/>
    <x:mergeCell ref="A114:C114"/>
    <x:mergeCell ref="A133:D133"/>
    <x:mergeCell ref="A80:D80"/>
    <x:mergeCell ref="A37:D37"/>
    <x:mergeCell ref="A98:C98"/>
    <x:mergeCell ref="A89:D89"/>
    <x:mergeCell ref="A120:D120"/>
    <x:mergeCell ref="A12:D12"/>
    <x:mergeCell ref="A21:D21"/>
    <x:mergeCell ref="A70:C70"/>
    <x:mergeCell ref="A104:D104"/>
    <x:mergeCell ref="A14:D14"/>
    <x:mergeCell ref="A23:D23"/>
    <x:mergeCell ref="A106:D106"/>
    <x:mergeCell ref="A4:D4"/>
    <x:mergeCell ref="A38:D38"/>
    <x:mergeCell ref="A96:D96"/>
    <x:mergeCell ref="A43:D43"/>
    <x:mergeCell ref="A40:D40"/>
    <x:mergeCell ref="A67:D67"/>
    <x:mergeCell ref="A85:C85"/>
    <x:mergeCell ref="A82:D82"/>
    <x:mergeCell ref="A123:D123"/>
    <x:mergeCell ref="A138:D138"/>
    <x:mergeCell ref="A10:C10"/>
    <x:mergeCell ref="A132:D132"/>
    <x:mergeCell ref="A110:D110"/>
    <x:mergeCell ref="A119:D119"/>
    <x:mergeCell ref="A25:D25"/>
    <x:mergeCell ref="B7:D7"/>
    <x:mergeCell ref="A66:D66"/>
    <x:mergeCell ref="A118:D118"/>
    <x:mergeCell ref="A75:D75"/>
    <x:mergeCell ref="A18:D18"/>
    <x:mergeCell ref="A45:C45"/>
    <x:mergeCell ref="A50:D50"/>
    <x:mergeCell ref="A3:D3"/>
    <x:mergeCell ref="A55:D55"/>
    <x:mergeCell ref="A86:D86"/>
    <x:mergeCell ref="A95:D95"/>
    <x:mergeCell ref="A47:D4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3" customWidth="1"/>
    <x:col min="2" max="3" width="28" style="113" customWidth="1"/>
    <x:col min="4" max="4" width="20" style="113" customWidth="1"/>
  </x:cols>
  <x:sheetData>
    <x:row r="1" s="113" customFormat="1" ht="37.5" customHeight="1">
      <x:c r="A1" s="90" t="inlineStr">
        <x:is>
          <x:t xml:space="preserve">🔧 VBA 進階  ─  陣列 / 字典 / 錯誤處理 / 事件</x:t>
        </x:is>
      </x:c>
      <x:c r="B1" s="2" t="n"/>
      <x:c r="C1" s="2" t="n"/>
      <x:c r="D1" s="2" t="n"/>
    </x:row>
    <x:row r="2" s="113" customFormat="1" ht="19.5" customHeight="1">
      <x:c r="A2" s="4" t="inlineStr">
        <x:is>
          <x:t xml:space="preserve">難度：🟠 Lv.4  |  這些技巧讓你從「會用」升級到「很強」</x:t>
        </x:is>
      </x:c>
    </x:row>
    <x:row r="3" s="113" customFormat="1" ht="30" customHeight="1">
      <x:c r="A3" s="83" t="inlineStr">
        <x:is>
          <x:t xml:space="preserve">⚠️ macOS 注意：VBA 編輯器從「工具→巨集→Visual Basic 編輯器」開啟（沒有 Alt+F11）。Mac 不支援 UserForm，需用 InputBox 或 MsgBox 替代。</x:t>
        </x:is>
      </x:c>
      <x:c r="B3" s="2" t="n"/>
      <x:c r="C3" s="2" t="n"/>
      <x:c r="D3" s="3" t="n"/>
    </x:row>
    <x:row r="4" s="113" customFormat="1" ht="21.75" customHeight="1">
      <x:c r="A4" s="91" t="inlineStr">
        <x:is>
          <x:t xml:space="preserve">微任務 1：陣列批次處理（效能大提升）</x:t>
        </x:is>
      </x:c>
      <x:c r="B4" s="2" t="n"/>
      <x:c r="C4" s="2" t="n"/>
      <x:c r="D4" s="92" t="inlineStr">
        <x:is>
          <x:t xml:space="preserve">⏱ 3 分鐘</x:t>
        </x:is>
      </x:c>
    </x:row>
    <x:row r="5" s="113" customFormat="1" ht="15.75" customHeight="1">
      <x:c r="A5" s="86" t="inlineStr">
        <x:is>
          <x:t xml:space="preserve">Sub ArrayDemo()</x:t>
        </x:is>
      </x:c>
      <x:c r="B5" s="2" t="n"/>
      <x:c r="C5" s="2" t="n"/>
      <x:c r="D5" s="2" t="n"/>
    </x:row>
    <x:row r="6" s="113" customFormat="1" ht="15.75" customHeight="1">
      <x:c r="A6" s="86" t="inlineStr">
        <x:is>
          <x:t xml:space="preserve">    Dim arr() As Variant</x:t>
        </x:is>
      </x:c>
      <x:c r="B6" s="2" t="n"/>
      <x:c r="C6" s="2" t="n"/>
      <x:c r="D6" s="2" t="n"/>
    </x:row>
    <x:row r="7" s="113" customFormat="1" ht="15.75" customHeight="1">
      <x:c r="A7" s="86" t="inlineStr">
        <x:is>
          <x:t xml:space="preserve">    Dim i As Long</x:t>
        </x:is>
      </x:c>
      <x:c r="B7" s="2" t="n"/>
      <x:c r="C7" s="2" t="n"/>
      <x:c r="D7" s="2" t="n"/>
    </x:row>
    <x:row r="8" s="113" customFormat="1" ht="15.75" customHeight="1">
      <x:c r="A8" s="86" t="inlineStr">
        <x:is>
          <x:t xml:space="preserve">    ' 一次讀入整個範圍</x:t>
        </x:is>
      </x:c>
      <x:c r="B8" s="2" t="n"/>
      <x:c r="C8" s="2" t="n"/>
      <x:c r="D8" s="2" t="n"/>
    </x:row>
    <x:row r="9" s="113" customFormat="1" ht="15.75" customHeight="1">
      <x:c r="A9" s="86" t="inlineStr">
        <x:is>
          <x:t xml:space="preserve">    arr = Range("A1:A1000").Value</x:t>
        </x:is>
      </x:c>
      <x:c r="B9" s="2" t="n"/>
      <x:c r="C9" s="2" t="n"/>
      <x:c r="D9" s="2" t="n"/>
    </x:row>
    <x:row r="10" s="113" customFormat="1" ht="15.75" customHeight="1">
      <x:c r="A10" s="86" t="inlineStr">
        <x:is>
          <x:t xml:space="preserve">    </x:t>
        </x:is>
      </x:c>
      <x:c r="B10" s="2" t="n"/>
      <x:c r="C10" s="2" t="n"/>
      <x:c r="D10" s="2" t="n"/>
    </x:row>
    <x:row r="11" s="113" customFormat="1" ht="15.75" customHeight="1">
      <x:c r="A11" s="86" t="inlineStr">
        <x:is>
          <x:t xml:space="preserve">    For i = 1 To UBound(arr)</x:t>
        </x:is>
      </x:c>
      <x:c r="B11" s="2" t="n"/>
      <x:c r="C11" s="2" t="n"/>
      <x:c r="D11" s="2" t="n"/>
    </x:row>
    <x:row r="12" s="113" customFormat="1" ht="15.75" customHeight="1">
      <x:c r="A12" s="86" t="inlineStr">
        <x:is>
          <x:t xml:space="preserve">        arr(i, 1) = arr(i, 1) * 1.1  ' 加薪 10%</x:t>
        </x:is>
      </x:c>
      <x:c r="B12" s="2" t="n"/>
      <x:c r="C12" s="2" t="n"/>
      <x:c r="D12" s="2" t="n"/>
    </x:row>
    <x:row r="13" s="113" customFormat="1" ht="15.75" customHeight="1">
      <x:c r="A13" s="86" t="inlineStr">
        <x:is>
          <x:t xml:space="preserve">    Next i</x:t>
        </x:is>
      </x:c>
      <x:c r="B13" s="2" t="n"/>
      <x:c r="C13" s="2" t="n"/>
      <x:c r="D13" s="2" t="n"/>
    </x:row>
    <x:row r="14" s="113" customFormat="1" ht="15.75" customHeight="1">
      <x:c r="A14" s="86" t="inlineStr">
        <x:is>
          <x:t xml:space="preserve">    </x:t>
        </x:is>
      </x:c>
      <x:c r="B14" s="2" t="n"/>
      <x:c r="C14" s="2" t="n"/>
      <x:c r="D14" s="2" t="n"/>
    </x:row>
    <x:row r="15" s="113" customFormat="1" ht="15.75" customHeight="1">
      <x:c r="A15" s="86" t="inlineStr">
        <x:is>
          <x:t xml:space="preserve">    ' 一次寫回</x:t>
        </x:is>
      </x:c>
      <x:c r="B15" s="2" t="n"/>
      <x:c r="C15" s="2" t="n"/>
      <x:c r="D15" s="2" t="n"/>
    </x:row>
    <x:row r="16" s="113" customFormat="1" ht="15.75" customHeight="1">
      <x:c r="A16" s="86" t="inlineStr">
        <x:is>
          <x:t xml:space="preserve">    Range("B1:B1000").Value = arr</x:t>
        </x:is>
      </x:c>
      <x:c r="B16" s="2" t="n"/>
      <x:c r="C16" s="2" t="n"/>
      <x:c r="D16" s="2" t="n"/>
    </x:row>
    <x:row r="17" s="113" customFormat="1" ht="15.75" customHeight="1">
      <x:c r="A17" s="86" t="inlineStr">
        <x:is>
          <x:t xml:space="preserve">End Sub</x:t>
        </x:is>
      </x:c>
      <x:c r="B17" s="2" t="n"/>
      <x:c r="C17" s="2" t="n"/>
      <x:c r="D17" s="2" t="n"/>
    </x:row>
    <x:row r="18" s="113" customFormat="1" ht="21.75" customHeight="1">
      <x:c r="A18" s="87" t="inlineStr">
        <x:is>
          <x:t xml:space="preserve">💡 先讀到陣列 → 在記憶體處理 → 再寫回。比逐格操作快 100 倍</x:t>
        </x:is>
      </x:c>
      <x:c r="B18" s="2" t="n"/>
      <x:c r="C18" s="2" t="n"/>
      <x:c r="D18" s="2" t="n"/>
    </x:row>
    <x:row r="20" s="113" customFormat="1" ht="21.75" customHeight="1">
      <x:c r="A20" s="91" t="inlineStr">
        <x:is>
          <x:t xml:space="preserve">微任務 2：Dictionary 字典（去重/計數神器）</x:t>
        </x:is>
      </x:c>
      <x:c r="B20" s="2" t="n"/>
      <x:c r="C20" s="2" t="n"/>
      <x:c r="D20" s="92" t="inlineStr">
        <x:is>
          <x:t xml:space="preserve">⏱ 3 分鐘</x:t>
        </x:is>
      </x:c>
    </x:row>
    <x:row r="21" s="113" customFormat="1" ht="15.75" customHeight="1">
      <x:c r="A21" s="86" t="inlineStr">
        <x:is>
          <x:t xml:space="preserve">Sub DictDemo()</x:t>
        </x:is>
      </x:c>
      <x:c r="B21" s="2" t="n"/>
      <x:c r="C21" s="2" t="n"/>
      <x:c r="D21" s="2" t="n"/>
    </x:row>
    <x:row r="22" s="113" customFormat="1" ht="15.75" customHeight="1">
      <x:c r="A22" s="86" t="inlineStr">
        <x:is>
          <x:t xml:space="preserve">    Dim dict As Object</x:t>
        </x:is>
      </x:c>
      <x:c r="B22" s="2" t="n"/>
      <x:c r="C22" s="2" t="n"/>
      <x:c r="D22" s="2" t="n"/>
    </x:row>
    <x:row r="23" s="113" customFormat="1" ht="15.75" customHeight="1">
      <x:c r="A23" s="86" t="inlineStr">
        <x:is>
          <x:t xml:space="preserve">    Set dict = CreateObject("Scripting.Dictionary")</x:t>
        </x:is>
      </x:c>
      <x:c r="B23" s="2" t="n"/>
      <x:c r="C23" s="2" t="n"/>
      <x:c r="D23" s="2" t="n"/>
    </x:row>
    <x:row r="24" s="113" customFormat="1" ht="15.75" customHeight="1">
      <x:c r="A24" s="86" t="inlineStr">
        <x:is>
          <x:t xml:space="preserve">    Dim cell As Range</x:t>
        </x:is>
      </x:c>
      <x:c r="B24" s="2" t="n"/>
      <x:c r="C24" s="2" t="n"/>
      <x:c r="D24" s="2" t="n"/>
    </x:row>
    <x:row r="25" s="113" customFormat="1" ht="15.75" customHeight="1">
      <x:c r="A25" s="86" t="inlineStr">
        <x:is>
          <x:t xml:space="preserve">    </x:t>
        </x:is>
      </x:c>
      <x:c r="B25" s="2" t="n"/>
      <x:c r="C25" s="2" t="n"/>
      <x:c r="D25" s="2" t="n"/>
    </x:row>
    <x:row r="26" s="113" customFormat="1" ht="15.75" customHeight="1">
      <x:c r="A26" s="86" t="inlineStr">
        <x:is>
          <x:t xml:space="preserve">    For Each cell In Range("A1:A100")</x:t>
        </x:is>
      </x:c>
      <x:c r="B26" s="2" t="n"/>
      <x:c r="C26" s="2" t="n"/>
      <x:c r="D26" s="2" t="n"/>
    </x:row>
    <x:row r="27" s="113" customFormat="1" ht="15.75" customHeight="1">
      <x:c r="A27" s="86" t="inlineStr">
        <x:is>
          <x:t xml:space="preserve">        If cell.Value &lt;&gt; "" Then</x:t>
        </x:is>
      </x:c>
      <x:c r="B27" s="2" t="n"/>
      <x:c r="C27" s="2" t="n"/>
      <x:c r="D27" s="2" t="n"/>
    </x:row>
    <x:row r="28" s="113" customFormat="1" ht="15.75" customHeight="1">
      <x:c r="A28" s="86" t="inlineStr">
        <x:is>
          <x:t xml:space="preserve">            If dict.Exists(cell.Value) Then</x:t>
        </x:is>
      </x:c>
      <x:c r="B28" s="2" t="n"/>
      <x:c r="C28" s="2" t="n"/>
      <x:c r="D28" s="2" t="n"/>
    </x:row>
    <x:row r="29" s="113" customFormat="1" ht="15.75" customHeight="1">
      <x:c r="A29" s="86" t="inlineStr">
        <x:is>
          <x:t xml:space="preserve">                dict(cell.Value) = dict(cell.Value) + 1</x:t>
        </x:is>
      </x:c>
      <x:c r="B29" s="2" t="n"/>
      <x:c r="C29" s="2" t="n"/>
      <x:c r="D29" s="2" t="n"/>
    </x:row>
    <x:row r="30" s="113" customFormat="1" ht="15.75" customHeight="1">
      <x:c r="A30" s="86" t="inlineStr">
        <x:is>
          <x:t xml:space="preserve">            Else</x:t>
        </x:is>
      </x:c>
      <x:c r="B30" s="2" t="n"/>
      <x:c r="C30" s="2" t="n"/>
      <x:c r="D30" s="2" t="n"/>
    </x:row>
    <x:row r="31" s="113" customFormat="1" ht="15.75" customHeight="1">
      <x:c r="A31" s="86" t="inlineStr">
        <x:is>
          <x:t xml:space="preserve">                dict.Add cell.Value, 1</x:t>
        </x:is>
      </x:c>
      <x:c r="B31" s="2" t="n"/>
      <x:c r="C31" s="2" t="n"/>
      <x:c r="D31" s="2" t="n"/>
    </x:row>
    <x:row r="32" s="113" customFormat="1" ht="15.75" customHeight="1">
      <x:c r="A32" s="86" t="inlineStr">
        <x:is>
          <x:t xml:space="preserve">            End If</x:t>
        </x:is>
      </x:c>
      <x:c r="B32" s="2" t="n"/>
      <x:c r="C32" s="2" t="n"/>
      <x:c r="D32" s="2" t="n"/>
    </x:row>
    <x:row r="33" s="113" customFormat="1" ht="15.75" customHeight="1">
      <x:c r="A33" s="86" t="inlineStr">
        <x:is>
          <x:t xml:space="preserve">        End If</x:t>
        </x:is>
      </x:c>
      <x:c r="B33" s="2" t="n"/>
      <x:c r="C33" s="2" t="n"/>
      <x:c r="D33" s="2" t="n"/>
    </x:row>
    <x:row r="34" s="113" customFormat="1" ht="15.75" customHeight="1">
      <x:c r="A34" s="86" t="inlineStr">
        <x:is>
          <x:t xml:space="preserve">    Next cell</x:t>
        </x:is>
      </x:c>
      <x:c r="B34" s="2" t="n"/>
      <x:c r="C34" s="2" t="n"/>
      <x:c r="D34" s="2" t="n"/>
    </x:row>
    <x:row r="35" s="113" customFormat="1" ht="15.75" customHeight="1">
      <x:c r="A35" s="86" t="inlineStr">
        <x:is>
          <x:t xml:space="preserve">    </x:t>
        </x:is>
      </x:c>
      <x:c r="B35" s="2" t="n"/>
      <x:c r="C35" s="2" t="n"/>
      <x:c r="D35" s="2" t="n"/>
    </x:row>
    <x:row r="36" s="113" customFormat="1" ht="15.75" customHeight="1">
      <x:c r="A36" s="86" t="inlineStr">
        <x:is>
          <x:t xml:space="preserve">    ' 輸出結果</x:t>
        </x:is>
      </x:c>
      <x:c r="B36" s="2" t="n"/>
      <x:c r="C36" s="2" t="n"/>
      <x:c r="D36" s="2" t="n"/>
    </x:row>
    <x:row r="37" s="113" customFormat="1" ht="15.75" customHeight="1">
      <x:c r="A37" s="86" t="inlineStr">
        <x:is>
          <x:t xml:space="preserve">    Dim i As Long: i = 1</x:t>
        </x:is>
      </x:c>
      <x:c r="B37" s="2" t="n"/>
      <x:c r="C37" s="2" t="n"/>
      <x:c r="D37" s="2" t="n"/>
    </x:row>
    <x:row r="38" s="113" customFormat="1" ht="15.75" customHeight="1">
      <x:c r="A38" s="86" t="inlineStr">
        <x:is>
          <x:t xml:space="preserve">    Dim key As Variant</x:t>
        </x:is>
      </x:c>
      <x:c r="B38" s="2" t="n"/>
      <x:c r="C38" s="2" t="n"/>
      <x:c r="D38" s="2" t="n"/>
    </x:row>
    <x:row r="39" s="113" customFormat="1" ht="15.75" customHeight="1">
      <x:c r="A39" s="86" t="inlineStr">
        <x:is>
          <x:t xml:space="preserve">    For Each key In dict.Keys</x:t>
        </x:is>
      </x:c>
      <x:c r="B39" s="2" t="n"/>
      <x:c r="C39" s="2" t="n"/>
      <x:c r="D39" s="2" t="n"/>
    </x:row>
    <x:row r="40" s="113" customFormat="1" ht="15.75" customHeight="1">
      <x:c r="A40" s="86" t="inlineStr">
        <x:is>
          <x:t xml:space="preserve">        Cells(i, 5).Value = key</x:t>
        </x:is>
      </x:c>
      <x:c r="B40" s="2" t="n"/>
      <x:c r="C40" s="2" t="n"/>
      <x:c r="D40" s="2" t="n"/>
    </x:row>
    <x:row r="41" s="113" customFormat="1" ht="15.75" customHeight="1">
      <x:c r="A41" s="86" t="inlineStr">
        <x:is>
          <x:t xml:space="preserve">        Cells(i, 6).Value = dict(key)</x:t>
        </x:is>
      </x:c>
      <x:c r="B41" s="2" t="n"/>
      <x:c r="C41" s="2" t="n"/>
      <x:c r="D41" s="2" t="n"/>
    </x:row>
    <x:row r="42" s="113" customFormat="1" ht="15.75" customHeight="1">
      <x:c r="A42" s="86" t="inlineStr">
        <x:is>
          <x:t xml:space="preserve">        i = i + 1</x:t>
        </x:is>
      </x:c>
      <x:c r="B42" s="2" t="n"/>
      <x:c r="C42" s="2" t="n"/>
      <x:c r="D42" s="2" t="n"/>
    </x:row>
    <x:row r="43" s="113" customFormat="1" ht="15.75" customHeight="1">
      <x:c r="A43" s="86" t="inlineStr">
        <x:is>
          <x:t xml:space="preserve">    Next key</x:t>
        </x:is>
      </x:c>
      <x:c r="B43" s="2" t="n"/>
      <x:c r="C43" s="2" t="n"/>
      <x:c r="D43" s="2" t="n"/>
    </x:row>
    <x:row r="44" s="113" customFormat="1" ht="15.75" customHeight="1">
      <x:c r="A44" s="86" t="inlineStr">
        <x:is>
          <x:t xml:space="preserve">End Sub</x:t>
        </x:is>
      </x:c>
      <x:c r="B44" s="2" t="n"/>
      <x:c r="C44" s="2" t="n"/>
      <x:c r="D44" s="2" t="n"/>
    </x:row>
    <x:row r="45" s="113" customFormat="1" ht="21.75" customHeight="1">
      <x:c r="A45" s="88" t="inlineStr">
        <x:is>
          <x:t xml:space="preserve">💡 Dictionary 比 COUNTIF 更靈活，適合大量資料去重計數</x:t>
        </x:is>
      </x:c>
      <x:c r="B45" s="2" t="n"/>
      <x:c r="C45" s="2" t="n"/>
      <x:c r="D45" s="2" t="n"/>
    </x:row>
    <x:row r="47" s="113" customFormat="1" ht="21.75" customHeight="1">
      <x:c r="A47" s="91" t="inlineStr">
        <x:is>
          <x:t xml:space="preserve">微任務 3：錯誤處理 On Error</x:t>
        </x:is>
      </x:c>
      <x:c r="B47" s="2" t="n"/>
      <x:c r="C47" s="2" t="n"/>
      <x:c r="D47" s="92" t="inlineStr">
        <x:is>
          <x:t xml:space="preserve">⏱ 2 分鐘</x:t>
        </x:is>
      </x:c>
    </x:row>
    <x:row r="48" s="113" customFormat="1" ht="15.75" customHeight="1">
      <x:c r="A48" s="86" t="inlineStr">
        <x:is>
          <x:t xml:space="preserve">Sub ErrorHandling()</x:t>
        </x:is>
      </x:c>
      <x:c r="B48" s="2" t="n"/>
      <x:c r="C48" s="2" t="n"/>
      <x:c r="D48" s="2" t="n"/>
    </x:row>
    <x:row r="49" s="113" customFormat="1" ht="15.75" customHeight="1">
      <x:c r="A49" s="86" t="inlineStr">
        <x:is>
          <x:t xml:space="preserve">    On Error GoTo ErrHandler</x:t>
        </x:is>
      </x:c>
      <x:c r="B49" s="2" t="n"/>
      <x:c r="C49" s="2" t="n"/>
      <x:c r="D49" s="2" t="n"/>
    </x:row>
    <x:row r="50" s="113" customFormat="1" ht="15.75" customHeight="1">
      <x:c r="A50" s="86" t="inlineStr">
        <x:is>
          <x:t xml:space="preserve">    </x:t>
        </x:is>
      </x:c>
      <x:c r="B50" s="2" t="n"/>
      <x:c r="C50" s="2" t="n"/>
      <x:c r="D50" s="2" t="n"/>
    </x:row>
    <x:row r="51" s="113" customFormat="1" ht="15.75" customHeight="1">
      <x:c r="A51" s="86" t="inlineStr">
        <x:is>
          <x:t xml:space="preserve">    Dim result As Double</x:t>
        </x:is>
      </x:c>
      <x:c r="B51" s="2" t="n"/>
      <x:c r="C51" s="2" t="n"/>
      <x:c r="D51" s="2" t="n"/>
    </x:row>
    <x:row r="52" s="113" customFormat="1" ht="15.75" customHeight="1">
      <x:c r="A52" s="86" t="inlineStr">
        <x:is>
          <x:t xml:space="preserve">    result = 10 / 0  ' 這會出錯</x:t>
        </x:is>
      </x:c>
      <x:c r="B52" s="2" t="n"/>
      <x:c r="C52" s="2" t="n"/>
      <x:c r="D52" s="2" t="n"/>
    </x:row>
    <x:row r="53" s="113" customFormat="1" ht="15.75" customHeight="1">
      <x:c r="A53" s="86" t="inlineStr">
        <x:is>
          <x:t xml:space="preserve">    </x:t>
        </x:is>
      </x:c>
      <x:c r="B53" s="2" t="n"/>
      <x:c r="C53" s="2" t="n"/>
      <x:c r="D53" s="2" t="n"/>
    </x:row>
    <x:row r="54" s="113" customFormat="1" ht="15.75" customHeight="1">
      <x:c r="A54" s="86" t="inlineStr">
        <x:is>
          <x:t xml:space="preserve">    Exit Sub</x:t>
        </x:is>
      </x:c>
      <x:c r="B54" s="2" t="n"/>
      <x:c r="C54" s="2" t="n"/>
      <x:c r="D54" s="2" t="n"/>
    </x:row>
    <x:row r="55" s="113" customFormat="1" ht="15.75" customHeight="1">
      <x:c r="A55" s="86" t="inlineStr">
        <x:is>
          <x:t xml:space="preserve">    </x:t>
        </x:is>
      </x:c>
      <x:c r="B55" s="2" t="n"/>
      <x:c r="C55" s="2" t="n"/>
      <x:c r="D55" s="2" t="n"/>
    </x:row>
    <x:row r="56" s="113" customFormat="1" ht="15.75" customHeight="1">
      <x:c r="A56" s="86" t="inlineStr">
        <x:is>
          <x:t xml:space="preserve">ErrHandler:</x:t>
        </x:is>
      </x:c>
      <x:c r="B56" s="2" t="n"/>
      <x:c r="C56" s="2" t="n"/>
      <x:c r="D56" s="2" t="n"/>
    </x:row>
    <x:row r="57" s="113" customFormat="1" ht="15.75" customHeight="1">
      <x:c r="A57" s="86" t="inlineStr">
        <x:is>
          <x:t xml:space="preserve">    MsgBox "發生錯誤: " &amp; Err.Description</x:t>
        </x:is>
      </x:c>
      <x:c r="B57" s="2" t="n"/>
      <x:c r="C57" s="2" t="n"/>
      <x:c r="D57" s="2" t="n"/>
    </x:row>
    <x:row r="58" s="113" customFormat="1" ht="15.75" customHeight="1">
      <x:c r="A58" s="86" t="inlineStr">
        <x:is>
          <x:t xml:space="preserve">    ' 或 On Error Resume Next（忽略錯誤繼續）</x:t>
        </x:is>
      </x:c>
      <x:c r="B58" s="2" t="n"/>
      <x:c r="C58" s="2" t="n"/>
      <x:c r="D58" s="2" t="n"/>
    </x:row>
    <x:row r="59" s="113" customFormat="1" ht="15.75" customHeight="1">
      <x:c r="A59" s="86" t="inlineStr">
        <x:is>
          <x:t xml:space="preserve">End Sub</x:t>
        </x:is>
      </x:c>
      <x:c r="B59" s="2" t="n"/>
      <x:c r="C59" s="2" t="n"/>
      <x:c r="D59" s="2" t="n"/>
    </x:row>
    <x:row r="60" s="113" customFormat="1" ht="21.75" customHeight="1">
      <x:c r="A60" s="88" t="inlineStr">
        <x:is>
          <x:t xml:space="preserve">💡 On Error GoTo 標籤 = 跳到錯誤處理區。專業程式必備</x:t>
        </x:is>
      </x:c>
      <x:c r="B60" s="2" t="n"/>
      <x:c r="C60" s="2" t="n"/>
      <x:c r="D60" s="2" t="n"/>
    </x:row>
    <x:row r="62" s="113" customFormat="1" ht="21.75" customHeight="1">
      <x:c r="A62" s="91" t="inlineStr">
        <x:is>
          <x:t xml:space="preserve">微任務 4：With 語句 + 格式化</x:t>
        </x:is>
      </x:c>
      <x:c r="B62" s="2" t="n"/>
      <x:c r="C62" s="2" t="n"/>
      <x:c r="D62" s="92" t="inlineStr">
        <x:is>
          <x:t xml:space="preserve">⏱ 2 分鐘</x:t>
        </x:is>
      </x:c>
    </x:row>
    <x:row r="63" s="113" customFormat="1" ht="15.75" customHeight="1">
      <x:c r="A63" s="86" t="inlineStr">
        <x:is>
          <x:t xml:space="preserve">Sub StyleDemo()</x:t>
        </x:is>
      </x:c>
      <x:c r="B63" s="2" t="n"/>
      <x:c r="C63" s="2" t="n"/>
      <x:c r="D63" s="2" t="n"/>
    </x:row>
    <x:row r="64" s="113" customFormat="1" ht="15.75" customHeight="1">
      <x:c r="A64" s="86" t="inlineStr">
        <x:is>
          <x:t xml:space="preserve">    With Range("A1:F1")</x:t>
        </x:is>
      </x:c>
      <x:c r="B64" s="2" t="n"/>
      <x:c r="C64" s="2" t="n"/>
      <x:c r="D64" s="2" t="n"/>
    </x:row>
    <x:row r="65" s="113" customFormat="1" ht="15.75" customHeight="1">
      <x:c r="A65" s="86" t="inlineStr">
        <x:is>
          <x:t xml:space="preserve">        .Font.Bold = True</x:t>
        </x:is>
      </x:c>
      <x:c r="B65" s="2" t="n"/>
      <x:c r="C65" s="2" t="n"/>
      <x:c r="D65" s="2" t="n"/>
    </x:row>
    <x:row r="66" s="113" customFormat="1" ht="15.75" customHeight="1">
      <x:c r="A66" s="86" t="inlineStr">
        <x:is>
          <x:t xml:space="preserve">        .Font.Size = 12</x:t>
        </x:is>
      </x:c>
      <x:c r="B66" s="2" t="n"/>
      <x:c r="C66" s="2" t="n"/>
      <x:c r="D66" s="2" t="n"/>
    </x:row>
    <x:row r="67" s="113" customFormat="1" ht="15.75" customHeight="1">
      <x:c r="A67" s="86" t="inlineStr">
        <x:is>
          <x:t xml:space="preserve">        .Font.Color = RGB(255, 255, 255)</x:t>
        </x:is>
      </x:c>
      <x:c r="B67" s="2" t="n"/>
      <x:c r="C67" s="2" t="n"/>
      <x:c r="D67" s="2" t="n"/>
    </x:row>
    <x:row r="68" s="113" customFormat="1" ht="15.75" customHeight="1">
      <x:c r="A68" s="86" t="inlineStr">
        <x:is>
          <x:t xml:space="preserve">        .Interior.Color = RGB(47, 84, 150)</x:t>
        </x:is>
      </x:c>
      <x:c r="B68" s="2" t="n"/>
      <x:c r="C68" s="2" t="n"/>
      <x:c r="D68" s="2" t="n"/>
    </x:row>
    <x:row r="69" s="113" customFormat="1" ht="15.75" customHeight="1">
      <x:c r="A69" s="86" t="inlineStr">
        <x:is>
          <x:t xml:space="preserve">        .HorizontalAlignment = xlCenter</x:t>
        </x:is>
      </x:c>
      <x:c r="B69" s="2" t="n"/>
      <x:c r="C69" s="2" t="n"/>
      <x:c r="D69" s="2" t="n"/>
    </x:row>
    <x:row r="70" s="113" customFormat="1" ht="15.75" customHeight="1">
      <x:c r="A70" s="86" t="inlineStr">
        <x:is>
          <x:t xml:space="preserve">        .Borders.LineStyle = xlContinuous</x:t>
        </x:is>
      </x:c>
      <x:c r="B70" s="2" t="n"/>
      <x:c r="C70" s="2" t="n"/>
      <x:c r="D70" s="2" t="n"/>
    </x:row>
    <x:row r="71" s="113" customFormat="1" ht="15.75" customHeight="1">
      <x:c r="A71" s="86" t="inlineStr">
        <x:is>
          <x:t xml:space="preserve">    End With</x:t>
        </x:is>
      </x:c>
      <x:c r="B71" s="2" t="n"/>
      <x:c r="C71" s="2" t="n"/>
      <x:c r="D71" s="2" t="n"/>
    </x:row>
    <x:row r="72" s="113" customFormat="1" ht="15.75" customHeight="1">
      <x:c r="A72" s="86" t="inlineStr">
        <x:is>
          <x:t xml:space="preserve">End Sub</x:t>
        </x:is>
      </x:c>
      <x:c r="B72" s="2" t="n"/>
      <x:c r="C72" s="2" t="n"/>
      <x:c r="D72" s="2" t="n"/>
    </x:row>
    <x:row r="73" s="113" customFormat="1" ht="21.75" customHeight="1">
      <x:c r="A73" s="88" t="inlineStr">
        <x:is>
          <x:t xml:space="preserve">💡 With 減少重複輸入物件名，程式碼更乾淨</x:t>
        </x:is>
      </x:c>
      <x:c r="B73" s="2" t="n"/>
      <x:c r="C73" s="2" t="n"/>
      <x:c r="D73" s="2" t="n"/>
    </x:row>
    <x:row r="75" s="113" customFormat="1" ht="21.75" customHeight="1">
      <x:c r="A75" s="91" t="inlineStr">
        <x:is>
          <x:t xml:space="preserve">微任務 5：Worksheet 事件（自動觸發）</x:t>
        </x:is>
      </x:c>
      <x:c r="B75" s="2" t="n"/>
      <x:c r="C75" s="2" t="n"/>
      <x:c r="D75" s="92" t="inlineStr">
        <x:is>
          <x:t xml:space="preserve">⏱ 3 分鐘</x:t>
        </x:is>
      </x:c>
    </x:row>
    <x:row r="76" s="113" customFormat="1" ht="15.75" customHeight="1">
      <x:c r="A76" s="86" t="inlineStr">
        <x:is>
          <x:t xml:space="preserve">' ⚠️ 這段放在「工作表」模組，不是一般模組</x:t>
        </x:is>
      </x:c>
      <x:c r="B76" s="2" t="n"/>
      <x:c r="C76" s="2" t="n"/>
      <x:c r="D76" s="2" t="n"/>
    </x:row>
    <x:row r="77" s="113" customFormat="1" ht="15.75" customHeight="1">
      <x:c r="A77" s="86" t="inlineStr">
        <x:is>
          <x:t xml:space="preserve">Private Sub Worksheet_Change(ByVal Target As Range)</x:t>
        </x:is>
      </x:c>
      <x:c r="B77" s="2" t="n"/>
      <x:c r="C77" s="2" t="n"/>
      <x:c r="D77" s="2" t="n"/>
    </x:row>
    <x:row r="78" s="113" customFormat="1" ht="15.75" customHeight="1">
      <x:c r="A78" s="86" t="inlineStr">
        <x:is>
          <x:t xml:space="preserve">    ' 當 A 欄被修改時，自動在 B 欄記錄時間</x:t>
        </x:is>
      </x:c>
      <x:c r="B78" s="2" t="n"/>
      <x:c r="C78" s="2" t="n"/>
      <x:c r="D78" s="2" t="n"/>
    </x:row>
    <x:row r="79" s="113" customFormat="1" ht="15.75" customHeight="1">
      <x:c r="A79" s="86" t="inlineStr">
        <x:is>
          <x:t xml:space="preserve">    If Target.Column = 1 Then</x:t>
        </x:is>
      </x:c>
      <x:c r="B79" s="2" t="n"/>
      <x:c r="C79" s="2" t="n"/>
      <x:c r="D79" s="2" t="n"/>
    </x:row>
    <x:row r="80" s="113" customFormat="1" ht="15.75" customHeight="1">
      <x:c r="A80" s="86" t="inlineStr">
        <x:is>
          <x:t xml:space="preserve">        Target.Offset(0, 1).Value = Now()</x:t>
        </x:is>
      </x:c>
      <x:c r="B80" s="2" t="n"/>
      <x:c r="C80" s="2" t="n"/>
      <x:c r="D80" s="2" t="n"/>
    </x:row>
    <x:row r="81" s="113" customFormat="1" ht="15.75" customHeight="1">
      <x:c r="A81" s="86" t="inlineStr">
        <x:is>
          <x:t xml:space="preserve">    End If</x:t>
        </x:is>
      </x:c>
      <x:c r="B81" s="2" t="n"/>
      <x:c r="C81" s="2" t="n"/>
      <x:c r="D81" s="2" t="n"/>
    </x:row>
    <x:row r="82" s="113" customFormat="1" ht="15.75" customHeight="1">
      <x:c r="A82" s="86" t="inlineStr">
        <x:is>
          <x:t xml:space="preserve">End Sub</x:t>
        </x:is>
      </x:c>
      <x:c r="B82" s="2" t="n"/>
      <x:c r="C82" s="2" t="n"/>
      <x:c r="D82" s="2" t="n"/>
    </x:row>
    <x:row r="83" s="113" customFormat="1" ht="21.75" customHeight="1">
      <x:c r="A83" s="87" t="inlineStr">
        <x:is>
          <x:t xml:space="preserve">💡 事件程式碼放在工作表模組（右鍵工作表→檢視程式碼）</x:t>
        </x:is>
      </x:c>
      <x:c r="B83" s="2" t="n"/>
      <x:c r="C83" s="2" t="n"/>
      <x:c r="D83" s="2" t="n"/>
    </x:row>
    <x:row r="85" s="113" customFormat="1" ht="21.75" customHeight="1">
      <x:c r="A85" s="91" t="inlineStr">
        <x:is>
          <x:t xml:space="preserve">微任務 6：Select Case（比 If 更乾淨）</x:t>
        </x:is>
      </x:c>
      <x:c r="B85" s="2" t="n"/>
      <x:c r="C85" s="2" t="n"/>
      <x:c r="D85" s="92" t="inlineStr">
        <x:is>
          <x:t xml:space="preserve">⏱ 2 分鐘</x:t>
        </x:is>
      </x:c>
    </x:row>
    <x:row r="86" s="113" customFormat="1" ht="15.75" customHeight="1">
      <x:c r="A86" s="86" t="inlineStr">
        <x:is>
          <x:t xml:space="preserve">Sub SelectCaseDemo()</x:t>
        </x:is>
      </x:c>
      <x:c r="B86" s="2" t="n"/>
      <x:c r="C86" s="2" t="n"/>
      <x:c r="D86" s="2" t="n"/>
    </x:row>
    <x:row r="87" s="113" customFormat="1" ht="15.75" customHeight="1">
      <x:c r="A87" s="86" t="inlineStr">
        <x:is>
          <x:t xml:space="preserve">    Dim grade As String</x:t>
        </x:is>
      </x:c>
      <x:c r="B87" s="2" t="n"/>
      <x:c r="C87" s="2" t="n"/>
      <x:c r="D87" s="2" t="n"/>
    </x:row>
    <x:row r="88" s="113" customFormat="1" ht="15.75" customHeight="1">
      <x:c r="A88" s="86" t="inlineStr">
        <x:is>
          <x:t xml:space="preserve">    grade = Range("A1").Value</x:t>
        </x:is>
      </x:c>
      <x:c r="B88" s="2" t="n"/>
      <x:c r="C88" s="2" t="n"/>
      <x:c r="D88" s="2" t="n"/>
    </x:row>
    <x:row r="89" s="113" customFormat="1" ht="15.75" customHeight="1">
      <x:c r="A89" s="86" t="inlineStr">
        <x:is>
          <x:t xml:space="preserve">    </x:t>
        </x:is>
      </x:c>
      <x:c r="B89" s="2" t="n"/>
      <x:c r="C89" s="2" t="n"/>
      <x:c r="D89" s="2" t="n"/>
    </x:row>
    <x:row r="90" s="113" customFormat="1" ht="15.75" customHeight="1">
      <x:c r="A90" s="86" t="inlineStr">
        <x:is>
          <x:t xml:space="preserve">    Select Case grade</x:t>
        </x:is>
      </x:c>
      <x:c r="B90" s="2" t="n"/>
      <x:c r="C90" s="2" t="n"/>
      <x:c r="D90" s="2" t="n"/>
    </x:row>
    <x:row r="91" s="113" customFormat="1" ht="15.75" customHeight="1">
      <x:c r="A91" s="86" t="inlineStr">
        <x:is>
          <x:t xml:space="preserve">        Case "A": MsgBox "優秀"</x:t>
        </x:is>
      </x:c>
      <x:c r="B91" s="2" t="n"/>
      <x:c r="C91" s="2" t="n"/>
      <x:c r="D91" s="2" t="n"/>
    </x:row>
    <x:row r="92" s="113" customFormat="1" ht="15.75" customHeight="1">
      <x:c r="A92" s="86" t="inlineStr">
        <x:is>
          <x:t xml:space="preserve">        Case "B": MsgBox "良好"</x:t>
        </x:is>
      </x:c>
      <x:c r="B92" s="2" t="n"/>
      <x:c r="C92" s="2" t="n"/>
      <x:c r="D92" s="2" t="n"/>
    </x:row>
    <x:row r="93" s="113" customFormat="1" ht="15.75" customHeight="1">
      <x:c r="A93" s="86" t="inlineStr">
        <x:is>
          <x:t xml:space="preserve">        Case "C": MsgBox "及格"</x:t>
        </x:is>
      </x:c>
      <x:c r="B93" s="2" t="n"/>
      <x:c r="C93" s="2" t="n"/>
      <x:c r="D93" s="2" t="n"/>
    </x:row>
    <x:row r="94" s="113" customFormat="1" ht="15.75" customHeight="1">
      <x:c r="A94" s="86" t="inlineStr">
        <x:is>
          <x:t xml:space="preserve">        Case Else: MsgBox "未知等級"</x:t>
        </x:is>
      </x:c>
      <x:c r="B94" s="2" t="n"/>
      <x:c r="C94" s="2" t="n"/>
      <x:c r="D94" s="2" t="n"/>
    </x:row>
    <x:row r="95" s="113" customFormat="1" ht="15.75" customHeight="1">
      <x:c r="A95" s="86" t="inlineStr">
        <x:is>
          <x:t xml:space="preserve">    End Select</x:t>
        </x:is>
      </x:c>
      <x:c r="B95" s="2" t="n"/>
      <x:c r="C95" s="2" t="n"/>
      <x:c r="D95" s="2" t="n"/>
    </x:row>
    <x:row r="96" s="113" customFormat="1" ht="15.75" customHeight="1">
      <x:c r="A96" s="86" t="inlineStr">
        <x:is>
          <x:t xml:space="preserve">End Sub</x:t>
        </x:is>
      </x:c>
      <x:c r="B96" s="2" t="n"/>
      <x:c r="C96" s="2" t="n"/>
      <x:c r="D96" s="2" t="n"/>
    </x:row>
    <x:row r="97" s="113" customFormat="1" ht="21.75" customHeight="1">
      <x:c r="A97" s="88" t="inlineStr">
        <x:is>
          <x:t xml:space="preserve">💡 Select Case 比多層 If/ElseIf 更易讀</x:t>
        </x:is>
      </x:c>
      <x:c r="B97" s="2" t="n"/>
      <x:c r="C97" s="2" t="n"/>
      <x:c r="D97" s="2" t="n"/>
    </x:row>
    <x:row r="99" s="113" customFormat="1" ht="21.75" customHeight="1">
      <x:c r="A99" s="91" t="inlineStr">
        <x:is>
          <x:t xml:space="preserve">微任務 7：FileSystemObject 檔案操作</x:t>
        </x:is>
      </x:c>
      <x:c r="B99" s="2" t="n"/>
      <x:c r="C99" s="2" t="n"/>
      <x:c r="D99" s="92" t="inlineStr">
        <x:is>
          <x:t xml:space="preserve">⏱ 3 分鐘</x:t>
        </x:is>
      </x:c>
    </x:row>
    <x:row r="100" s="113" customFormat="1" ht="15.75" customHeight="1">
      <x:c r="A100" s="86" t="inlineStr">
        <x:is>
          <x:t xml:space="preserve">Sub ListFiles()</x:t>
        </x:is>
      </x:c>
      <x:c r="B100" s="2" t="n"/>
      <x:c r="C100" s="2" t="n"/>
      <x:c r="D100" s="2" t="n"/>
    </x:row>
    <x:row r="101" s="113" customFormat="1" ht="15.75" customHeight="1">
      <x:c r="A101" s="86" t="inlineStr">
        <x:is>
          <x:t xml:space="preserve">    Dim fso As Object, folder As Object, file As Object</x:t>
        </x:is>
      </x:c>
      <x:c r="B101" s="2" t="n"/>
      <x:c r="C101" s="2" t="n"/>
      <x:c r="D101" s="2" t="n"/>
    </x:row>
    <x:row r="102" s="113" customFormat="1" ht="15.75" customHeight="1">
      <x:c r="A102" s="86" t="inlineStr">
        <x:is>
          <x:t xml:space="preserve">    Set fso = CreateObject("Scripting.FileSystemObject")</x:t>
        </x:is>
      </x:c>
      <x:c r="B102" s="2" t="n"/>
      <x:c r="C102" s="2" t="n"/>
      <x:c r="D102" s="2" t="n"/>
    </x:row>
    <x:row r="103" s="113" customFormat="1" ht="15.75" customHeight="1">
      <x:c r="A103" s="86" t="inlineStr">
        <x:is>
          <x:t xml:space="preserve">    Set folder = fso.GetFolder("C:\Users\你的帳號\Desktop")</x:t>
        </x:is>
      </x:c>
      <x:c r="B103" s="2" t="n"/>
      <x:c r="C103" s="2" t="n"/>
      <x:c r="D103" s="2" t="n"/>
    </x:row>
    <x:row r="104" s="113" customFormat="1" ht="15.75" customHeight="1">
      <x:c r="A104" s="86" t="inlineStr">
        <x:is>
          <x:t xml:space="preserve">    </x:t>
        </x:is>
      </x:c>
      <x:c r="B104" s="2" t="n"/>
      <x:c r="C104" s="2" t="n"/>
      <x:c r="D104" s="2" t="n"/>
    </x:row>
    <x:row r="105" s="113" customFormat="1" ht="15.75" customHeight="1">
      <x:c r="A105" s="86" t="inlineStr">
        <x:is>
          <x:t xml:space="preserve">    Dim r As Long: r = 1</x:t>
        </x:is>
      </x:c>
      <x:c r="B105" s="2" t="n"/>
      <x:c r="C105" s="2" t="n"/>
      <x:c r="D105" s="2" t="n"/>
    </x:row>
    <x:row r="106" s="113" customFormat="1" ht="15.75" customHeight="1">
      <x:c r="A106" s="86" t="inlineStr">
        <x:is>
          <x:t xml:space="preserve">    For Each file In folder.Files</x:t>
        </x:is>
      </x:c>
      <x:c r="B106" s="2" t="n"/>
      <x:c r="C106" s="2" t="n"/>
      <x:c r="D106" s="2" t="n"/>
    </x:row>
    <x:row r="107" s="113" customFormat="1" ht="15.75" customHeight="1">
      <x:c r="A107" s="86" t="inlineStr">
        <x:is>
          <x:t xml:space="preserve">        Cells(r, 1).Value = file.Name</x:t>
        </x:is>
      </x:c>
      <x:c r="B107" s="2" t="n"/>
      <x:c r="C107" s="2" t="n"/>
      <x:c r="D107" s="2" t="n"/>
    </x:row>
    <x:row r="108" s="113" customFormat="1" ht="15.75" customHeight="1">
      <x:c r="A108" s="86" t="inlineStr">
        <x:is>
          <x:t xml:space="preserve">        Cells(r, 2).Value = file.Size</x:t>
        </x:is>
      </x:c>
      <x:c r="B108" s="2" t="n"/>
      <x:c r="C108" s="2" t="n"/>
      <x:c r="D108" s="2" t="n"/>
    </x:row>
    <x:row r="109" s="113" customFormat="1" ht="15.75" customHeight="1">
      <x:c r="A109" s="86" t="inlineStr">
        <x:is>
          <x:t xml:space="preserve">        r = r + 1</x:t>
        </x:is>
      </x:c>
      <x:c r="B109" s="2" t="n"/>
      <x:c r="C109" s="2" t="n"/>
      <x:c r="D109" s="2" t="n"/>
    </x:row>
    <x:row r="110" s="113" customFormat="1" ht="15.75" customHeight="1">
      <x:c r="A110" s="86" t="inlineStr">
        <x:is>
          <x:t xml:space="preserve">    Next file</x:t>
        </x:is>
      </x:c>
      <x:c r="B110" s="2" t="n"/>
      <x:c r="C110" s="2" t="n"/>
      <x:c r="D110" s="2" t="n"/>
    </x:row>
    <x:row r="111" s="113" customFormat="1" ht="15.75" customHeight="1">
      <x:c r="A111" s="86" t="inlineStr">
        <x:is>
          <x:t xml:space="preserve">End Sub</x:t>
        </x:is>
      </x:c>
      <x:c r="B111" s="2" t="n"/>
      <x:c r="C111" s="2" t="n"/>
      <x:c r="D111" s="2" t="n"/>
    </x:row>
    <x:row r="112" s="113" customFormat="1" ht="21.75" customHeight="1">
      <x:c r="A112" s="88" t="inlineStr">
        <x:is>
          <x:t xml:space="preserve">💡 FSO 可以讀寫檔案系統，自動化必備技能</x:t>
        </x:is>
      </x:c>
      <x:c r="B112" s="2" t="n"/>
      <x:c r="C112" s="2" t="n"/>
      <x:c r="D112" s="2" t="n"/>
    </x:row>
    <x:row r="114" s="113" customFormat="1" ht="21.75" customHeight="1">
      <x:c r="A114" s="91" t="inlineStr">
        <x:is>
          <x:t xml:space="preserve">微任務 8：定時執行巨集</x:t>
        </x:is>
      </x:c>
      <x:c r="B114" s="2" t="n"/>
      <x:c r="C114" s="2" t="n"/>
      <x:c r="D114" s="92" t="inlineStr">
        <x:is>
          <x:t xml:space="preserve">⏱ 2 分鐘</x:t>
        </x:is>
      </x:c>
    </x:row>
    <x:row r="115" s="113" customFormat="1" ht="15.75" customHeight="1">
      <x:c r="A115" s="86" t="inlineStr">
        <x:is>
          <x:t xml:space="preserve">Sub StartTimer()</x:t>
        </x:is>
      </x:c>
      <x:c r="B115" s="2" t="n"/>
      <x:c r="C115" s="2" t="n"/>
      <x:c r="D115" s="2" t="n"/>
    </x:row>
    <x:row r="116" s="113" customFormat="1" ht="15.75" customHeight="1">
      <x:c r="A116" s="86" t="inlineStr">
        <x:is>
          <x:t xml:space="preserve">    Application.OnTime Now + TimeValue("00:01:00"), "MyTask"</x:t>
        </x:is>
      </x:c>
      <x:c r="B116" s="2" t="n"/>
      <x:c r="C116" s="2" t="n"/>
      <x:c r="D116" s="2" t="n"/>
    </x:row>
    <x:row r="117" s="113" customFormat="1" ht="15.75" customHeight="1">
      <x:c r="A117" s="86" t="inlineStr">
        <x:is>
          <x:t xml:space="preserve">End Sub</x:t>
        </x:is>
      </x:c>
      <x:c r="B117" s="2" t="n"/>
      <x:c r="C117" s="2" t="n"/>
      <x:c r="D117" s="2" t="n"/>
    </x:row>
    <x:row r="118" s="113" customFormat="1" ht="15.75" customHeight="1">
      <x:c r="A118" s="86" t="n"/>
      <x:c r="B118" s="2" t="n"/>
      <x:c r="C118" s="2" t="n"/>
      <x:c r="D118" s="2" t="n"/>
    </x:row>
    <x:row r="119" s="113" customFormat="1" ht="15.75" customHeight="1">
      <x:c r="A119" s="86" t="inlineStr">
        <x:is>
          <x:t xml:space="preserve">Sub MyTask()</x:t>
        </x:is>
      </x:c>
      <x:c r="B119" s="2" t="n"/>
      <x:c r="C119" s="2" t="n"/>
      <x:c r="D119" s="2" t="n"/>
    </x:row>
    <x:row r="120" s="113" customFormat="1" ht="15.75" customHeight="1">
      <x:c r="A120" s="86" t="inlineStr">
        <x:is>
          <x:t xml:space="preserve">    ' 每分鐘執行的工作</x:t>
        </x:is>
      </x:c>
      <x:c r="B120" s="2" t="n"/>
      <x:c r="C120" s="2" t="n"/>
      <x:c r="D120" s="2" t="n"/>
    </x:row>
    <x:row r="121" s="113" customFormat="1" ht="15.75" customHeight="1">
      <x:c r="A121" s="86" t="inlineStr">
        <x:is>
          <x:t xml:space="preserve">    Range("A1").Value = Now()</x:t>
        </x:is>
      </x:c>
      <x:c r="B121" s="2" t="n"/>
      <x:c r="C121" s="2" t="n"/>
      <x:c r="D121" s="2" t="n"/>
    </x:row>
    <x:row r="122" s="113" customFormat="1" ht="15.75" customHeight="1">
      <x:c r="A122" s="86" t="inlineStr">
        <x:is>
          <x:t xml:space="preserve">    StartTimer  ' 再次設定下次執行</x:t>
        </x:is>
      </x:c>
      <x:c r="B122" s="2" t="n"/>
      <x:c r="C122" s="2" t="n"/>
      <x:c r="D122" s="2" t="n"/>
    </x:row>
    <x:row r="123" s="113" customFormat="1" ht="15.75" customHeight="1">
      <x:c r="A123" s="86" t="inlineStr">
        <x:is>
          <x:t xml:space="preserve">End Sub</x:t>
        </x:is>
      </x:c>
      <x:c r="B123" s="2" t="n"/>
      <x:c r="C123" s="2" t="n"/>
      <x:c r="D123" s="2" t="n"/>
    </x:row>
    <x:row r="124" s="113" customFormat="1" ht="15.75" customHeight="1">
      <x:c r="A124" s="86" t="n"/>
      <x:c r="B124" s="2" t="n"/>
      <x:c r="C124" s="2" t="n"/>
      <x:c r="D124" s="2" t="n"/>
    </x:row>
    <x:row r="125" s="113" customFormat="1" ht="15.75" customHeight="1">
      <x:c r="A125" s="86" t="inlineStr">
        <x:is>
          <x:t xml:space="preserve">Sub StopTimer()</x:t>
        </x:is>
      </x:c>
      <x:c r="B125" s="2" t="n"/>
      <x:c r="C125" s="2" t="n"/>
      <x:c r="D125" s="2" t="n"/>
    </x:row>
    <x:row r="126" s="113" customFormat="1" ht="15.75" customHeight="1">
      <x:c r="A126" s="86" t="inlineStr">
        <x:is>
          <x:t xml:space="preserve">    Application.OnTime Now + TimeValue("00:01:00"), "MyTask", , False</x:t>
        </x:is>
      </x:c>
      <x:c r="B126" s="2" t="n"/>
      <x:c r="C126" s="2" t="n"/>
      <x:c r="D126" s="2" t="n"/>
    </x:row>
    <x:row r="127" s="113" customFormat="1" ht="15.75" customHeight="1">
      <x:c r="A127" s="86" t="inlineStr">
        <x:is>
          <x:t xml:space="preserve">End Sub</x:t>
        </x:is>
      </x:c>
      <x:c r="B127" s="2" t="n"/>
      <x:c r="C127" s="2" t="n"/>
      <x:c r="D127" s="2" t="n"/>
    </x:row>
    <x:row r="128" s="113" customFormat="1" ht="21.75" customHeight="1">
      <x:c r="A128" s="88" t="inlineStr">
        <x:is>
          <x:t xml:space="preserve">💡 Application.OnTime 可以排程定時執行。StopTimer 停止</x:t>
        </x:is>
      </x:c>
      <x:c r="B128" s="2" t="n"/>
      <x:c r="C128" s="2" t="n"/>
      <x:c r="D128" s="2" t="n"/>
    </x:row>
    <x:row r="131" s="113" customFormat="1" ht="30" customHeight="1">
      <x:c r="A131" s="89" t="inlineStr">
        <x:is>
          <x:t xml:space="preserve">🎯 動手練習（做完打 ✓，難度漸進！）</x:t>
        </x:is>
      </x:c>
      <x:c r="B131" s="11" t="n"/>
      <x:c r="C131" s="11" t="n"/>
      <x:c r="D131" s="12" t="n"/>
    </x:row>
    <x:row r="132" s="113" customFormat="1" ht="15.199999809265137" customHeight="1">
      <x:c r="A132" s="13" t="inlineStr">
        <x:is>
          <x:t xml:space="preserve">#</x:t>
        </x:is>
      </x:c>
      <x:c r="B132" s="13" t="inlineStr">
        <x:is>
          <x:t xml:space="preserve">✓</x:t>
        </x:is>
      </x:c>
      <x:c r="C132" s="13" t="inlineStr">
        <x:is>
          <x:t xml:space="preserve">難度</x:t>
        </x:is>
      </x:c>
      <x:c r="D132" s="13" t="inlineStr">
        <x:is>
          <x:t xml:space="preserve">任務描述</x:t>
        </x:is>
      </x:c>
    </x:row>
    <x:row r="133" s="113" customFormat="1" ht="36" customHeight="1">
      <x:c r="A133" s="14" t="n">
        <x:v>1</x:v>
      </x:c>
      <x:c r="B133" s="15" t="inlineStr">
        <x:is>
          <x:t xml:space="preserve">□</x:t>
        </x:is>
      </x:c>
      <x:c r="C133" s="14" t="inlineStr">
        <x:is>
          <x:t xml:space="preserve">🟢 暖身</x:t>
        </x:is>
      </x:c>
      <x:c r="D133" s="17" t="inlineStr">
        <x:is>
          <x:t xml:space="preserve">建立 Dictionary：用 CreateObject("Scripting.Dictionary") → 把 A 欄的值當 Key 計數 → 結果寫到 D:E 欄</x:t>
        </x:is>
      </x:c>
    </x:row>
    <x:row r="134" s="113" customFormat="1" ht="36" customHeight="1">
      <x:c r="A134" s="14" t="n">
        <x:v>2</x:v>
      </x:c>
      <x:c r="B134" s="15" t="inlineStr">
        <x:is>
          <x:t xml:space="preserve">□</x:t>
        </x:is>
      </x:c>
      <x:c r="C134" s="14" t="inlineStr">
        <x:is>
          <x:t xml:space="preserve">🟢 暖身</x:t>
        </x:is>
      </x:c>
      <x:c r="D134" s="17" t="inlineStr">
        <x:is>
          <x:t xml:space="preserve">用陣列批次處理：arr = Range("A1:A1000").Value → 迴圈修改 → Range("B1:B1000").Value = arr</x:t>
        </x:is>
      </x:c>
    </x:row>
    <x:row r="135" s="113" customFormat="1" ht="36" customHeight="1">
      <x:c r="A135" s="18" t="n">
        <x:v>3</x:v>
      </x:c>
      <x:c r="B135" s="19" t="inlineStr">
        <x:is>
          <x:t xml:space="preserve">□</x:t>
        </x:is>
      </x:c>
      <x:c r="C135" s="18" t="inlineStr">
        <x:is>
          <x:t xml:space="preserve">🔵 標準</x:t>
        </x:is>
      </x:c>
      <x:c r="D135" s="21" t="inlineStr">
        <x:is>
          <x:t xml:space="preserve">寫 Worksheet_Change 事件：A 欄任何修改時，自動在 B 欄寫入 Now() 時間戳</x:t>
        </x:is>
      </x:c>
    </x:row>
    <x:row r="136" s="113" customFormat="1" ht="36" customHeight="1">
      <x:c r="A136" s="18" t="n">
        <x:v>4</x:v>
      </x:c>
      <x:c r="B136" s="19" t="inlineStr">
        <x:is>
          <x:t xml:space="preserve">□</x:t>
        </x:is>
      </x:c>
      <x:c r="C136" s="18" t="inlineStr">
        <x:is>
          <x:t xml:space="preserve">🔵 標準</x:t>
        </x:is>
      </x:c>
      <x:c r="D136" s="21" t="inlineStr">
        <x:is>
          <x:t xml:space="preserve">寫效能優化開關：ScreenUpdating=False + Calculation=Manual → 大量操作 → 恢復。計時比較差異</x:t>
        </x:is>
      </x:c>
    </x:row>
    <x:row r="137" s="113" customFormat="1" ht="36" customHeight="1">
      <x:c r="A137" s="22" t="n">
        <x:v>5</x:v>
      </x:c>
      <x:c r="B137" s="23" t="inlineStr">
        <x:is>
          <x:t xml:space="preserve">□</x:t>
        </x:is>
      </x:c>
      <x:c r="C137" s="22" t="inlineStr">
        <x:is>
          <x:t xml:space="preserve">🟡 變化</x:t>
        </x:is>
      </x:c>
      <x:c r="D137" s="25" t="inlineStr">
        <x:is>
          <x:t xml:space="preserve">用 Dictionary 做去重：讀取 A 欄 → 只保留不重複的值 → 寫到新工作表</x:t>
        </x:is>
      </x:c>
    </x:row>
    <x:row r="138" s="113" customFormat="1" ht="36" customHeight="1">
      <x:c r="A138" s="22" t="n">
        <x:v>6</x:v>
      </x:c>
      <x:c r="B138" s="23" t="inlineStr">
        <x:is>
          <x:t xml:space="preserve">□</x:t>
        </x:is>
      </x:c>
      <x:c r="C138" s="22" t="inlineStr">
        <x:is>
          <x:t xml:space="preserve">🟡 變化</x:t>
        </x:is>
      </x:c>
      <x:c r="D138" s="25" t="inlineStr">
        <x:is>
          <x:t xml:space="preserve">寫 Application.OnTime 排程：每 60 秒自動更新 A1 為現在時間，並寫一個 StopTimer 停止</x:t>
        </x:is>
      </x:c>
    </x:row>
    <x:row r="139" s="113" customFormat="1" ht="36" customHeight="1">
      <x:c r="A139" s="26" t="n">
        <x:v>7</x:v>
      </x:c>
      <x:c r="B139" s="27" t="inlineStr">
        <x:is>
          <x:t xml:space="preserve">□</x:t>
        </x:is>
      </x:c>
      <x:c r="C139" s="26" t="inlineStr">
        <x:is>
          <x:t xml:space="preserve">🔴 挑戰</x:t>
        </x:is>
      </x:c>
      <x:c r="D139" s="29" t="inlineStr">
        <x:is>
          <x:t xml:space="preserve">完整專案：建立「資料清洗」模組 → 刪空白列 + 去重複 + 格式統一 + 錯誤處理，一鍵執行</x:t>
        </x:is>
      </x:c>
    </x:row>
    <x:row r="140" s="113" customFormat="1" ht="36" customHeight="1">
      <x:c r="A140" s="26" t="n">
        <x:v>8</x:v>
      </x:c>
      <x:c r="B140" s="27" t="inlineStr">
        <x:is>
          <x:t xml:space="preserve">□</x:t>
        </x:is>
      </x:c>
      <x:c r="C140" s="26" t="inlineStr">
        <x:is>
          <x:t xml:space="preserve">🔴 挑戰</x:t>
        </x:is>
      </x:c>
      <x:c r="D140" s="29" t="inlineStr">
        <x:is>
          <x:t xml:space="preserve">寫 Class Module：建立一個 Employee 類別（Name, Salary, CalcBonus 方法），在 Sub 中實例化並使用</x:t>
        </x:is>
      </x:c>
    </x:row>
  </x:sheetData>
  <x:mergeCells>
    <x:mergeCell ref="A5:D5"/>
    <x:mergeCell ref="A122:D122"/>
    <x:mergeCell ref="A97:D97"/>
    <x:mergeCell ref="A72:D72"/>
    <x:mergeCell ref="A29:D29"/>
    <x:mergeCell ref="A81:D81"/>
    <x:mergeCell ref="A112:D112"/>
    <x:mergeCell ref="A121:D121"/>
    <x:mergeCell ref="A13:D13"/>
    <x:mergeCell ref="A44:D44"/>
    <x:mergeCell ref="A31:D31"/>
    <x:mergeCell ref="A58:D58"/>
    <x:mergeCell ref="A15:D15"/>
    <x:mergeCell ref="A64:D64"/>
    <x:mergeCell ref="A24:D24"/>
    <x:mergeCell ref="A73:D73"/>
    <x:mergeCell ref="A51:D51"/>
    <x:mergeCell ref="A107:D107"/>
    <x:mergeCell ref="A60:D60"/>
    <x:mergeCell ref="A70:D70"/>
    <x:mergeCell ref="A124:D124"/>
    <x:mergeCell ref="A54:D54"/>
    <x:mergeCell ref="A7:D7"/>
    <x:mergeCell ref="A41:D41"/>
    <x:mergeCell ref="A16:D16"/>
    <x:mergeCell ref="A108:D108"/>
    <x:mergeCell ref="A56:D56"/>
    <x:mergeCell ref="A27:D27"/>
    <x:mergeCell ref="A101:D101"/>
    <x:mergeCell ref="A2:D2"/>
    <x:mergeCell ref="A33:D33"/>
    <x:mergeCell ref="A42:D42"/>
    <x:mergeCell ref="A17:D17"/>
    <x:mergeCell ref="A126:D126"/>
    <x:mergeCell ref="A22:D22"/>
    <x:mergeCell ref="A53:D53"/>
    <x:mergeCell ref="A35:D35"/>
    <x:mergeCell ref="A75:C75"/>
    <x:mergeCell ref="A125:D125"/>
    <x:mergeCell ref="A28:D28"/>
    <x:mergeCell ref="A117:D117"/>
    <x:mergeCell ref="A111:D111"/>
    <x:mergeCell ref="A9:D9"/>
    <x:mergeCell ref="A127:D127"/>
    <x:mergeCell ref="A48:D48"/>
    <x:mergeCell ref="A30:D30"/>
    <x:mergeCell ref="A59:D59"/>
    <x:mergeCell ref="A11:D11"/>
    <x:mergeCell ref="A4:C4"/>
    <x:mergeCell ref="A79:D79"/>
    <x:mergeCell ref="A88:D88"/>
    <x:mergeCell ref="A128:D128"/>
    <x:mergeCell ref="A90:D90"/>
    <x:mergeCell ref="A105:D105"/>
    <x:mergeCell ref="A26:D26"/>
    <x:mergeCell ref="A71:D71"/>
    <x:mergeCell ref="A76:D76"/>
    <x:mergeCell ref="A99:C99"/>
    <x:mergeCell ref="A116:D116"/>
    <x:mergeCell ref="A8:D8"/>
    <x:mergeCell ref="A91:D91"/>
    <x:mergeCell ref="A131:D131"/>
    <x:mergeCell ref="A100:D100"/>
    <x:mergeCell ref="A109:D109"/>
    <x:mergeCell ref="A52:D52"/>
    <x:mergeCell ref="A63:D63"/>
    <x:mergeCell ref="A10:D10"/>
    <x:mergeCell ref="A115:D115"/>
    <x:mergeCell ref="A93:D93"/>
    <x:mergeCell ref="A68:D68"/>
    <x:mergeCell ref="A102:D102"/>
    <x:mergeCell ref="A47:C47"/>
    <x:mergeCell ref="A77:D77"/>
    <x:mergeCell ref="A34:D34"/>
    <x:mergeCell ref="A83:D83"/>
    <x:mergeCell ref="A92:D92"/>
    <x:mergeCell ref="A39:D39"/>
    <x:mergeCell ref="A62:C62"/>
    <x:mergeCell ref="A49:D49"/>
    <x:mergeCell ref="A20:C20"/>
    <x:mergeCell ref="A36:D36"/>
    <x:mergeCell ref="A1:D1"/>
    <x:mergeCell ref="A45:D45"/>
    <x:mergeCell ref="A94:D94"/>
    <x:mergeCell ref="A103:D103"/>
    <x:mergeCell ref="A69:D69"/>
    <x:mergeCell ref="A78:D78"/>
    <x:mergeCell ref="A87:D87"/>
    <x:mergeCell ref="A65:D65"/>
    <x:mergeCell ref="A114:C114"/>
    <x:mergeCell ref="A80:D80"/>
    <x:mergeCell ref="A37:D37"/>
    <x:mergeCell ref="A89:D89"/>
    <x:mergeCell ref="A120:D120"/>
    <x:mergeCell ref="A12:D12"/>
    <x:mergeCell ref="A21:D21"/>
    <x:mergeCell ref="A104:D104"/>
    <x:mergeCell ref="A57:D57"/>
    <x:mergeCell ref="A32:D32"/>
    <x:mergeCell ref="A14:D14"/>
    <x:mergeCell ref="A23:D23"/>
    <x:mergeCell ref="A106:D106"/>
    <x:mergeCell ref="A38:D38"/>
    <x:mergeCell ref="A96:D96"/>
    <x:mergeCell ref="A43:D43"/>
    <x:mergeCell ref="A40:D40"/>
    <x:mergeCell ref="A67:D67"/>
    <x:mergeCell ref="A85:C85"/>
    <x:mergeCell ref="A82:D82"/>
    <x:mergeCell ref="A123:D123"/>
    <x:mergeCell ref="A110:D110"/>
    <x:mergeCell ref="A6:D6"/>
    <x:mergeCell ref="A119:D119"/>
    <x:mergeCell ref="A25:D25"/>
    <x:mergeCell ref="A66:D66"/>
    <x:mergeCell ref="A118:D118"/>
    <x:mergeCell ref="A18:D18"/>
    <x:mergeCell ref="A50:D50"/>
    <x:mergeCell ref="A3:D3"/>
    <x:mergeCell ref="A55:D55"/>
    <x:mergeCell ref="A86:D86"/>
    <x:mergeCell ref="A95:D9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3" customWidth="1"/>
    <x:col min="2" max="3" width="28" style="113" customWidth="1"/>
    <x:col min="4" max="4" width="20" style="113" customWidth="1"/>
  </x:cols>
  <x:sheetData>
    <x:row r="1" s="113" customFormat="1" ht="37.5" customHeight="1">
      <x:c r="A1" s="82" t="inlineStr">
        <x:is>
          <x:t xml:space="preserve">🏗️ VBA 實戰  ─  UserForm / 自動報表 / 實務範本</x:t>
        </x:is>
      </x:c>
      <x:c r="B1" s="2" t="n"/>
      <x:c r="C1" s="2" t="n"/>
      <x:c r="D1" s="2" t="n"/>
    </x:row>
    <x:row r="2" s="113" customFormat="1" ht="19.5" customHeight="1">
      <x:c r="A2" s="4" t="inlineStr">
        <x:is>
          <x:t xml:space="preserve">難度：🔴 Lv.5  |  做完這裡，你就能教別人了</x:t>
        </x:is>
      </x:c>
    </x:row>
    <x:row r="3" s="113" customFormat="1" ht="30" customHeight="1">
      <x:c r="A3" s="83" t="inlineStr">
        <x:is>
          <x:t xml:space="preserve">⚠️ macOS 注意：VBA 編輯器從「工具→巨集→Visual Basic 編輯器」開啟（沒有 Alt+F11）。Mac 不支援 UserForm，需用 InputBox 或 MsgBox 替代。</x:t>
        </x:is>
      </x:c>
      <x:c r="B3" s="2" t="n"/>
      <x:c r="C3" s="2" t="n"/>
      <x:c r="D3" s="3" t="n"/>
    </x:row>
    <x:row r="4" s="113" customFormat="1" ht="21.75" customHeight="1">
      <x:c r="A4" s="84" t="inlineStr">
        <x:is>
          <x:t xml:space="preserve">實戰 1：自動產生月報表</x:t>
        </x:is>
      </x:c>
      <x:c r="B4" s="2" t="n"/>
      <x:c r="C4" s="2" t="n"/>
      <x:c r="D4" s="85" t="inlineStr">
        <x:is>
          <x:t xml:space="preserve">⏱ 5 分鐘</x:t>
        </x:is>
      </x:c>
    </x:row>
    <x:row r="5" s="113" customFormat="1" ht="15.75" customHeight="1">
      <x:c r="A5" s="86" t="inlineStr">
        <x:is>
          <x:t xml:space="preserve">Sub GenerateMonthlyReport()</x:t>
        </x:is>
      </x:c>
      <x:c r="B5" s="2" t="n"/>
      <x:c r="C5" s="2" t="n"/>
      <x:c r="D5" s="2" t="n"/>
    </x:row>
    <x:row r="6" s="113" customFormat="1" ht="15.75" customHeight="1">
      <x:c r="A6" s="86" t="inlineStr">
        <x:is>
          <x:t xml:space="preserve">    Dim wsData As Worksheet, wsReport As Worksheet</x:t>
        </x:is>
      </x:c>
      <x:c r="B6" s="2" t="n"/>
      <x:c r="C6" s="2" t="n"/>
      <x:c r="D6" s="2" t="n"/>
    </x:row>
    <x:row r="7" s="113" customFormat="1" ht="15.75" customHeight="1">
      <x:c r="A7" s="86" t="inlineStr">
        <x:is>
          <x:t xml:space="preserve">    Set wsData = Sheets("資料")</x:t>
        </x:is>
      </x:c>
      <x:c r="B7" s="2" t="n"/>
      <x:c r="C7" s="2" t="n"/>
      <x:c r="D7" s="2" t="n"/>
    </x:row>
    <x:row r="8" s="113" customFormat="1" ht="15.75" customHeight="1">
      <x:c r="A8" s="86" t="inlineStr">
        <x:is>
          <x:t xml:space="preserve">    </x:t>
        </x:is>
      </x:c>
      <x:c r="B8" s="2" t="n"/>
      <x:c r="C8" s="2" t="n"/>
      <x:c r="D8" s="2" t="n"/>
    </x:row>
    <x:row r="9" s="113" customFormat="1" ht="15.75" customHeight="1">
      <x:c r="A9" s="86" t="inlineStr">
        <x:is>
          <x:t xml:space="preserve">    ' 新增報表工作表</x:t>
        </x:is>
      </x:c>
      <x:c r="B9" s="2" t="n"/>
      <x:c r="C9" s="2" t="n"/>
      <x:c r="D9" s="2" t="n"/>
    </x:row>
    <x:row r="10" s="113" customFormat="1" ht="15.75" customHeight="1">
      <x:c r="A10" s="86" t="inlineStr">
        <x:is>
          <x:t xml:space="preserve">    Set wsReport = Sheets.Add(After:=Sheets(Sheets.Count))</x:t>
        </x:is>
      </x:c>
      <x:c r="B10" s="2" t="n"/>
      <x:c r="C10" s="2" t="n"/>
      <x:c r="D10" s="2" t="n"/>
    </x:row>
    <x:row r="11" s="113" customFormat="1" ht="15.75" customHeight="1">
      <x:c r="A11" s="86" t="inlineStr">
        <x:is>
          <x:t xml:space="preserve">    wsReport.Name = "月報_" &amp; Format(Date, "YYYYMM")</x:t>
        </x:is>
      </x:c>
      <x:c r="B11" s="2" t="n"/>
      <x:c r="C11" s="2" t="n"/>
      <x:c r="D11" s="2" t="n"/>
    </x:row>
    <x:row r="12" s="113" customFormat="1" ht="15.75" customHeight="1">
      <x:c r="A12" s="86" t="inlineStr">
        <x:is>
          <x:t xml:space="preserve">    </x:t>
        </x:is>
      </x:c>
      <x:c r="B12" s="2" t="n"/>
      <x:c r="C12" s="2" t="n"/>
      <x:c r="D12" s="2" t="n"/>
    </x:row>
    <x:row r="13" s="113" customFormat="1" ht="15.75" customHeight="1">
      <x:c r="A13" s="86" t="inlineStr">
        <x:is>
          <x:t xml:space="preserve">    ' 標題</x:t>
        </x:is>
      </x:c>
      <x:c r="B13" s="2" t="n"/>
      <x:c r="C13" s="2" t="n"/>
      <x:c r="D13" s="2" t="n"/>
    </x:row>
    <x:row r="14" s="113" customFormat="1" ht="15.75" customHeight="1">
      <x:c r="A14" s="86" t="inlineStr">
        <x:is>
          <x:t xml:space="preserve">    wsReport.Range("A1").Value = Format(Date, "YYYY年MM月") &amp; " 月報表"</x:t>
        </x:is>
      </x:c>
      <x:c r="B14" s="2" t="n"/>
      <x:c r="C14" s="2" t="n"/>
      <x:c r="D14" s="2" t="n"/>
    </x:row>
    <x:row r="15" s="113" customFormat="1" ht="15.75" customHeight="1">
      <x:c r="A15" s="86" t="inlineStr">
        <x:is>
          <x:t xml:space="preserve">    wsReport.Range("A1").Font.Size = 16</x:t>
        </x:is>
      </x:c>
      <x:c r="B15" s="2" t="n"/>
      <x:c r="C15" s="2" t="n"/>
      <x:c r="D15" s="2" t="n"/>
    </x:row>
    <x:row r="16" s="113" customFormat="1" ht="15.75" customHeight="1">
      <x:c r="A16" s="86" t="inlineStr">
        <x:is>
          <x:t xml:space="preserve">    wsReport.Range("A1").Font.Bold = True</x:t>
        </x:is>
      </x:c>
      <x:c r="B16" s="2" t="n"/>
      <x:c r="C16" s="2" t="n"/>
      <x:c r="D16" s="2" t="n"/>
    </x:row>
    <x:row r="17" s="113" customFormat="1" ht="15.75" customHeight="1">
      <x:c r="A17" s="86" t="inlineStr">
        <x:is>
          <x:t xml:space="preserve">    </x:t>
        </x:is>
      </x:c>
      <x:c r="B17" s="2" t="n"/>
      <x:c r="C17" s="2" t="n"/>
      <x:c r="D17" s="2" t="n"/>
    </x:row>
    <x:row r="18" s="113" customFormat="1" ht="15.75" customHeight="1">
      <x:c r="A18" s="86" t="inlineStr">
        <x:is>
          <x:t xml:space="preserve">    ' 匯總資料</x:t>
        </x:is>
      </x:c>
      <x:c r="B18" s="2" t="n"/>
      <x:c r="C18" s="2" t="n"/>
      <x:c r="D18" s="2" t="n"/>
    </x:row>
    <x:row r="19" s="113" customFormat="1" ht="15.75" customHeight="1">
      <x:c r="A19" s="86" t="inlineStr">
        <x:is>
          <x:t xml:space="preserve">    Dim lastRow As Long</x:t>
        </x:is>
      </x:c>
      <x:c r="B19" s="2" t="n"/>
      <x:c r="C19" s="2" t="n"/>
      <x:c r="D19" s="2" t="n"/>
    </x:row>
    <x:row r="20" s="113" customFormat="1" ht="15.75" customHeight="1">
      <x:c r="A20" s="86" t="inlineStr">
        <x:is>
          <x:t xml:space="preserve">    lastRow = wsData.Cells(Rows.Count, 1).End(xlUp).Row</x:t>
        </x:is>
      </x:c>
      <x:c r="B20" s="2" t="n"/>
      <x:c r="C20" s="2" t="n"/>
      <x:c r="D20" s="2" t="n"/>
    </x:row>
    <x:row r="21" s="113" customFormat="1" ht="15.75" customHeight="1">
      <x:c r="A21" s="86" t="inlineStr">
        <x:is>
          <x:t xml:space="preserve">    </x:t>
        </x:is>
      </x:c>
      <x:c r="B21" s="2" t="n"/>
      <x:c r="C21" s="2" t="n"/>
      <x:c r="D21" s="2" t="n"/>
    </x:row>
    <x:row r="22" s="113" customFormat="1" ht="15.75" customHeight="1">
      <x:c r="A22" s="86" t="inlineStr">
        <x:is>
          <x:t xml:space="preserve">    wsReport.Range("A3").Value = "總筆數"</x:t>
        </x:is>
      </x:c>
      <x:c r="B22" s="2" t="n"/>
      <x:c r="C22" s="2" t="n"/>
      <x:c r="D22" s="2" t="n"/>
    </x:row>
    <x:row r="23" s="113" customFormat="1" ht="15.75" customHeight="1">
      <x:c r="A23" s="86" t="inlineStr">
        <x:is>
          <x:t xml:space="preserve">    wsReport.Range("B3").Value = lastRow - 1</x:t>
        </x:is>
      </x:c>
      <x:c r="B23" s="2" t="n"/>
      <x:c r="C23" s="2" t="n"/>
      <x:c r="D23" s="2" t="n"/>
    </x:row>
    <x:row r="24" s="113" customFormat="1" ht="15.75" customHeight="1">
      <x:c r="A24" s="86" t="inlineStr">
        <x:is>
          <x:t xml:space="preserve">    wsReport.Range("A4").Value = "總金額"</x:t>
        </x:is>
      </x:c>
      <x:c r="B24" s="2" t="n"/>
      <x:c r="C24" s="2" t="n"/>
      <x:c r="D24" s="2" t="n"/>
    </x:row>
    <x:row r="25" s="113" customFormat="1" ht="15.75" customHeight="1">
      <x:c r="A25" s="86" t="inlineStr">
        <x:is>
          <x:t xml:space="preserve">    wsReport.Range("B4").Value = WorksheetFunction.Sum(wsData.Range("E2:E" &amp; lastRow))</x:t>
        </x:is>
      </x:c>
      <x:c r="B25" s="2" t="n"/>
      <x:c r="C25" s="2" t="n"/>
      <x:c r="D25" s="2" t="n"/>
    </x:row>
    <x:row r="26" s="113" customFormat="1" ht="15.75" customHeight="1">
      <x:c r="A26" s="86" t="inlineStr">
        <x:is>
          <x:t xml:space="preserve">    wsReport.Range("B4").NumberFormat = "$#,##0"</x:t>
        </x:is>
      </x:c>
      <x:c r="B26" s="2" t="n"/>
      <x:c r="C26" s="2" t="n"/>
      <x:c r="D26" s="2" t="n"/>
    </x:row>
    <x:row r="27" s="113" customFormat="1" ht="15.75" customHeight="1">
      <x:c r="A27" s="86" t="inlineStr">
        <x:is>
          <x:t xml:space="preserve">    </x:t>
        </x:is>
      </x:c>
      <x:c r="B27" s="2" t="n"/>
      <x:c r="C27" s="2" t="n"/>
      <x:c r="D27" s="2" t="n"/>
    </x:row>
    <x:row r="28" s="113" customFormat="1" ht="15.75" customHeight="1">
      <x:c r="A28" s="86" t="inlineStr">
        <x:is>
          <x:t xml:space="preserve">    ' 格式化</x:t>
        </x:is>
      </x:c>
      <x:c r="B28" s="2" t="n"/>
      <x:c r="C28" s="2" t="n"/>
      <x:c r="D28" s="2" t="n"/>
    </x:row>
    <x:row r="29" s="113" customFormat="1" ht="15.75" customHeight="1">
      <x:c r="A29" s="86" t="inlineStr">
        <x:is>
          <x:t xml:space="preserve">    wsReport.Columns("A:B").AutoFit</x:t>
        </x:is>
      </x:c>
      <x:c r="B29" s="2" t="n"/>
      <x:c r="C29" s="2" t="n"/>
      <x:c r="D29" s="2" t="n"/>
    </x:row>
    <x:row r="30" s="113" customFormat="1" ht="15.75" customHeight="1">
      <x:c r="A30" s="86" t="inlineStr">
        <x:is>
          <x:t xml:space="preserve">    MsgBox "月報表已產生！"</x:t>
        </x:is>
      </x:c>
      <x:c r="B30" s="2" t="n"/>
      <x:c r="C30" s="2" t="n"/>
      <x:c r="D30" s="2" t="n"/>
    </x:row>
    <x:row r="31" s="113" customFormat="1" ht="15.75" customHeight="1">
      <x:c r="A31" s="86" t="inlineStr">
        <x:is>
          <x:t xml:space="preserve">End Sub</x:t>
        </x:is>
      </x:c>
      <x:c r="B31" s="2" t="n"/>
      <x:c r="C31" s="2" t="n"/>
      <x:c r="D31" s="2" t="n"/>
    </x:row>
    <x:row r="32" s="113" customFormat="1" ht="21.75" customHeight="1">
      <x:c r="A32" s="87" t="inlineStr">
        <x:is>
          <x:t xml:space="preserve">💡 實務中最常見的需求：自動匯總+產生報表</x:t>
        </x:is>
      </x:c>
      <x:c r="B32" s="2" t="n"/>
      <x:c r="C32" s="2" t="n"/>
      <x:c r="D32" s="2" t="n"/>
    </x:row>
    <x:row r="34" s="113" customFormat="1" ht="21.75" customHeight="1">
      <x:c r="A34" s="84" t="inlineStr">
        <x:is>
          <x:t xml:space="preserve">實戰 2：UserForm 資料輸入介面</x:t>
        </x:is>
      </x:c>
      <x:c r="B34" s="2" t="n"/>
      <x:c r="C34" s="2" t="n"/>
      <x:c r="D34" s="85" t="inlineStr">
        <x:is>
          <x:t xml:space="preserve">⏱ 5 分鐘</x:t>
        </x:is>
      </x:c>
    </x:row>
    <x:row r="35" s="113" customFormat="1" ht="15.75" customHeight="1">
      <x:c r="A35" s="86" t="inlineStr">
        <x:is>
          <x:t xml:space="preserve">' ⚠️ 先在 VBE 插入 UserForm，加入：</x:t>
        </x:is>
      </x:c>
      <x:c r="B35" s="2" t="n"/>
      <x:c r="C35" s="2" t="n"/>
      <x:c r="D35" s="2" t="n"/>
    </x:row>
    <x:row r="36" s="113" customFormat="1" ht="15.75" customHeight="1">
      <x:c r="A36" s="86" t="inlineStr">
        <x:is>
          <x:t xml:space="preserve">' TextBox1 (姓名), TextBox2 (金額), CommandButton1 (送出)</x:t>
        </x:is>
      </x:c>
      <x:c r="B36" s="2" t="n"/>
      <x:c r="C36" s="2" t="n"/>
      <x:c r="D36" s="2" t="n"/>
    </x:row>
    <x:row r="37" s="113" customFormat="1" ht="15.75" customHeight="1">
      <x:c r="A37" s="86" t="n"/>
      <x:c r="B37" s="2" t="n"/>
      <x:c r="C37" s="2" t="n"/>
      <x:c r="D37" s="2" t="n"/>
    </x:row>
    <x:row r="38" s="113" customFormat="1" ht="15.75" customHeight="1">
      <x:c r="A38" s="86" t="inlineStr">
        <x:is>
          <x:t xml:space="preserve">' 在 UserForm 的程式碼中：</x:t>
        </x:is>
      </x:c>
      <x:c r="B38" s="2" t="n"/>
      <x:c r="C38" s="2" t="n"/>
      <x:c r="D38" s="2" t="n"/>
    </x:row>
    <x:row r="39" s="113" customFormat="1" ht="15.75" customHeight="1">
      <x:c r="A39" s="86" t="inlineStr">
        <x:is>
          <x:t xml:space="preserve">Private Sub CommandButton1_Click()</x:t>
        </x:is>
      </x:c>
      <x:c r="B39" s="2" t="n"/>
      <x:c r="C39" s="2" t="n"/>
      <x:c r="D39" s="2" t="n"/>
    </x:row>
    <x:row r="40" s="113" customFormat="1" ht="15.75" customHeight="1">
      <x:c r="A40" s="86" t="inlineStr">
        <x:is>
          <x:t xml:space="preserve">    Dim nextRow As Long</x:t>
        </x:is>
      </x:c>
      <x:c r="B40" s="2" t="n"/>
      <x:c r="C40" s="2" t="n"/>
      <x:c r="D40" s="2" t="n"/>
    </x:row>
    <x:row r="41" s="113" customFormat="1" ht="15.75" customHeight="1">
      <x:c r="A41" s="86" t="inlineStr">
        <x:is>
          <x:t xml:space="preserve">    nextRow = Cells(Rows.Count, 1).End(xlUp).Row + 1</x:t>
        </x:is>
      </x:c>
      <x:c r="B41" s="2" t="n"/>
      <x:c r="C41" s="2" t="n"/>
      <x:c r="D41" s="2" t="n"/>
    </x:row>
    <x:row r="42" s="113" customFormat="1" ht="15.75" customHeight="1">
      <x:c r="A42" s="86" t="inlineStr">
        <x:is>
          <x:t xml:space="preserve">    </x:t>
        </x:is>
      </x:c>
      <x:c r="B42" s="2" t="n"/>
      <x:c r="C42" s="2" t="n"/>
      <x:c r="D42" s="2" t="n"/>
    </x:row>
    <x:row r="43" s="113" customFormat="1" ht="15.75" customHeight="1">
      <x:c r="A43" s="86" t="inlineStr">
        <x:is>
          <x:t xml:space="preserve">    Cells(nextRow, 1).Value = TextBox1.Value</x:t>
        </x:is>
      </x:c>
      <x:c r="B43" s="2" t="n"/>
      <x:c r="C43" s="2" t="n"/>
      <x:c r="D43" s="2" t="n"/>
    </x:row>
    <x:row r="44" s="113" customFormat="1" ht="15.75" customHeight="1">
      <x:c r="A44" s="86" t="inlineStr">
        <x:is>
          <x:t xml:space="preserve">    Cells(nextRow, 2).Value = CDbl(TextBox2.Value)</x:t>
        </x:is>
      </x:c>
      <x:c r="B44" s="2" t="n"/>
      <x:c r="C44" s="2" t="n"/>
      <x:c r="D44" s="2" t="n"/>
    </x:row>
    <x:row r="45" s="113" customFormat="1" ht="15.75" customHeight="1">
      <x:c r="A45" s="86" t="inlineStr">
        <x:is>
          <x:t xml:space="preserve">    Cells(nextRow, 3).Value = Now()</x:t>
        </x:is>
      </x:c>
      <x:c r="B45" s="2" t="n"/>
      <x:c r="C45" s="2" t="n"/>
      <x:c r="D45" s="2" t="n"/>
    </x:row>
    <x:row r="46" s="113" customFormat="1" ht="15.75" customHeight="1">
      <x:c r="A46" s="86" t="inlineStr">
        <x:is>
          <x:t xml:space="preserve">    </x:t>
        </x:is>
      </x:c>
      <x:c r="B46" s="2" t="n"/>
      <x:c r="C46" s="2" t="n"/>
      <x:c r="D46" s="2" t="n"/>
    </x:row>
    <x:row r="47" s="113" customFormat="1" ht="15.75" customHeight="1">
      <x:c r="A47" s="86" t="inlineStr">
        <x:is>
          <x:t xml:space="preserve">    MsgBox "已新增！"</x:t>
        </x:is>
      </x:c>
      <x:c r="B47" s="2" t="n"/>
      <x:c r="C47" s="2" t="n"/>
      <x:c r="D47" s="2" t="n"/>
    </x:row>
    <x:row r="48" s="113" customFormat="1" ht="15.75" customHeight="1">
      <x:c r="A48" s="86" t="inlineStr">
        <x:is>
          <x:t xml:space="preserve">    TextBox1.Value = ""</x:t>
        </x:is>
      </x:c>
      <x:c r="B48" s="2" t="n"/>
      <x:c r="C48" s="2" t="n"/>
      <x:c r="D48" s="2" t="n"/>
    </x:row>
    <x:row r="49" s="113" customFormat="1" ht="15.75" customHeight="1">
      <x:c r="A49" s="86" t="inlineStr">
        <x:is>
          <x:t xml:space="preserve">    TextBox2.Value = ""</x:t>
        </x:is>
      </x:c>
      <x:c r="B49" s="2" t="n"/>
      <x:c r="C49" s="2" t="n"/>
      <x:c r="D49" s="2" t="n"/>
    </x:row>
    <x:row r="50" s="113" customFormat="1" ht="15.75" customHeight="1">
      <x:c r="A50" s="86" t="inlineStr">
        <x:is>
          <x:t xml:space="preserve">End Sub</x:t>
        </x:is>
      </x:c>
      <x:c r="B50" s="2" t="n"/>
      <x:c r="C50" s="2" t="n"/>
      <x:c r="D50" s="2" t="n"/>
    </x:row>
    <x:row r="51" s="113" customFormat="1" ht="15.75" customHeight="1">
      <x:c r="A51" s="86" t="n"/>
      <x:c r="B51" s="2" t="n"/>
      <x:c r="C51" s="2" t="n"/>
      <x:c r="D51" s="2" t="n"/>
    </x:row>
    <x:row r="52" s="113" customFormat="1" ht="15.75" customHeight="1">
      <x:c r="A52" s="86" t="inlineStr">
        <x:is>
          <x:t xml:space="preserve">' 在一般模組中（開啟表單）：</x:t>
        </x:is>
      </x:c>
      <x:c r="B52" s="2" t="n"/>
      <x:c r="C52" s="2" t="n"/>
      <x:c r="D52" s="2" t="n"/>
    </x:row>
    <x:row r="53" s="113" customFormat="1" ht="15.75" customHeight="1">
      <x:c r="A53" s="86" t="inlineStr">
        <x:is>
          <x:t xml:space="preserve">Sub ShowForm()</x:t>
        </x:is>
      </x:c>
      <x:c r="B53" s="2" t="n"/>
      <x:c r="C53" s="2" t="n"/>
      <x:c r="D53" s="2" t="n"/>
    </x:row>
    <x:row r="54" s="113" customFormat="1" ht="15.75" customHeight="1">
      <x:c r="A54" s="86" t="inlineStr">
        <x:is>
          <x:t xml:space="preserve">    UserForm1.Show</x:t>
        </x:is>
      </x:c>
      <x:c r="B54" s="2" t="n"/>
      <x:c r="C54" s="2" t="n"/>
      <x:c r="D54" s="2" t="n"/>
    </x:row>
    <x:row r="55" s="113" customFormat="1" ht="15.75" customHeight="1">
      <x:c r="A55" s="86" t="inlineStr">
        <x:is>
          <x:t xml:space="preserve">End Sub</x:t>
        </x:is>
      </x:c>
      <x:c r="B55" s="2" t="n"/>
      <x:c r="C55" s="2" t="n"/>
      <x:c r="D55" s="2" t="n"/>
    </x:row>
    <x:row r="56" s="113" customFormat="1" ht="21.75" customHeight="1">
      <x:c r="A56" s="88" t="inlineStr">
        <x:is>
          <x:t xml:space="preserve">💡 UserForm 讓非技術同事也能安全輸入資料</x:t>
        </x:is>
      </x:c>
      <x:c r="B56" s="2" t="n"/>
      <x:c r="C56" s="2" t="n"/>
      <x:c r="D56" s="2" t="n"/>
    </x:row>
    <x:row r="58" s="113" customFormat="1" ht="21.75" customHeight="1">
      <x:c r="A58" s="84" t="inlineStr">
        <x:is>
          <x:t xml:space="preserve">實戰 3：匯出所有工作表為 PDF</x:t>
        </x:is>
      </x:c>
      <x:c r="B58" s="2" t="n"/>
      <x:c r="C58" s="2" t="n"/>
      <x:c r="D58" s="85" t="inlineStr">
        <x:is>
          <x:t xml:space="preserve">⏱ 3 分鐘</x:t>
        </x:is>
      </x:c>
    </x:row>
    <x:row r="59" s="113" customFormat="1" ht="15.75" customHeight="1">
      <x:c r="A59" s="86" t="inlineStr">
        <x:is>
          <x:t xml:space="preserve">Sub ExportAllToPDF()</x:t>
        </x:is>
      </x:c>
      <x:c r="B59" s="2" t="n"/>
      <x:c r="C59" s="2" t="n"/>
      <x:c r="D59" s="2" t="n"/>
    </x:row>
    <x:row r="60" s="113" customFormat="1" ht="15.75" customHeight="1">
      <x:c r="A60" s="86" t="inlineStr">
        <x:is>
          <x:t xml:space="preserve">    Dim ws As Worksheet</x:t>
        </x:is>
      </x:c>
      <x:c r="B60" s="2" t="n"/>
      <x:c r="C60" s="2" t="n"/>
      <x:c r="D60" s="2" t="n"/>
    </x:row>
    <x:row r="61" s="113" customFormat="1" ht="15.75" customHeight="1">
      <x:c r="A61" s="86" t="inlineStr">
        <x:is>
          <x:t xml:space="preserve">    Dim path As String</x:t>
        </x:is>
      </x:c>
      <x:c r="B61" s="2" t="n"/>
      <x:c r="C61" s="2" t="n"/>
      <x:c r="D61" s="2" t="n"/>
    </x:row>
    <x:row r="62" s="113" customFormat="1" ht="15.75" customHeight="1">
      <x:c r="A62" s="86" t="inlineStr">
        <x:is>
          <x:t xml:space="preserve">    path = ThisWorkbook.Path &amp; "\"</x:t>
        </x:is>
      </x:c>
      <x:c r="B62" s="2" t="n"/>
      <x:c r="C62" s="2" t="n"/>
      <x:c r="D62" s="2" t="n"/>
    </x:row>
    <x:row r="63" s="113" customFormat="1" ht="15.75" customHeight="1">
      <x:c r="A63" s="86" t="inlineStr">
        <x:is>
          <x:t xml:space="preserve">    </x:t>
        </x:is>
      </x:c>
      <x:c r="B63" s="2" t="n"/>
      <x:c r="C63" s="2" t="n"/>
      <x:c r="D63" s="2" t="n"/>
    </x:row>
    <x:row r="64" s="113" customFormat="1" ht="15.75" customHeight="1">
      <x:c r="A64" s="86" t="inlineStr">
        <x:is>
          <x:t xml:space="preserve">    For Each ws In ThisWorkbook.Worksheets</x:t>
        </x:is>
      </x:c>
      <x:c r="B64" s="2" t="n"/>
      <x:c r="C64" s="2" t="n"/>
      <x:c r="D64" s="2" t="n"/>
    </x:row>
    <x:row r="65" s="113" customFormat="1" ht="15.75" customHeight="1">
      <x:c r="A65" s="86" t="inlineStr">
        <x:is>
          <x:t xml:space="preserve">        ws.ExportAsFixedFormat _</x:t>
        </x:is>
      </x:c>
      <x:c r="B65" s="2" t="n"/>
      <x:c r="C65" s="2" t="n"/>
      <x:c r="D65" s="2" t="n"/>
    </x:row>
    <x:row r="66" s="113" customFormat="1" ht="15.75" customHeight="1">
      <x:c r="A66" s="86" t="inlineStr">
        <x:is>
          <x:t xml:space="preserve">            Type:=xlTypePDF, _</x:t>
        </x:is>
      </x:c>
      <x:c r="B66" s="2" t="n"/>
      <x:c r="C66" s="2" t="n"/>
      <x:c r="D66" s="2" t="n"/>
    </x:row>
    <x:row r="67" s="113" customFormat="1" ht="15.75" customHeight="1">
      <x:c r="A67" s="86" t="inlineStr">
        <x:is>
          <x:t xml:space="preserve">            Filename:=path &amp; ws.Name &amp; ".pdf", _</x:t>
        </x:is>
      </x:c>
      <x:c r="B67" s="2" t="n"/>
      <x:c r="C67" s="2" t="n"/>
      <x:c r="D67" s="2" t="n"/>
    </x:row>
    <x:row r="68" s="113" customFormat="1" ht="15.75" customHeight="1">
      <x:c r="A68" s="86" t="inlineStr">
        <x:is>
          <x:t xml:space="preserve">            Quality:=xlQualityStandard</x:t>
        </x:is>
      </x:c>
      <x:c r="B68" s="2" t="n"/>
      <x:c r="C68" s="2" t="n"/>
      <x:c r="D68" s="2" t="n"/>
    </x:row>
    <x:row r="69" s="113" customFormat="1" ht="15.75" customHeight="1">
      <x:c r="A69" s="86" t="inlineStr">
        <x:is>
          <x:t xml:space="preserve">    Next ws</x:t>
        </x:is>
      </x:c>
      <x:c r="B69" s="2" t="n"/>
      <x:c r="C69" s="2" t="n"/>
      <x:c r="D69" s="2" t="n"/>
    </x:row>
    <x:row r="70" s="113" customFormat="1" ht="15.75" customHeight="1">
      <x:c r="A70" s="86" t="inlineStr">
        <x:is>
          <x:t xml:space="preserve">    MsgBox "所有工作表已匯出為 PDF！"</x:t>
        </x:is>
      </x:c>
      <x:c r="B70" s="2" t="n"/>
      <x:c r="C70" s="2" t="n"/>
      <x:c r="D70" s="2" t="n"/>
    </x:row>
    <x:row r="71" s="113" customFormat="1" ht="15.75" customHeight="1">
      <x:c r="A71" s="86" t="inlineStr">
        <x:is>
          <x:t xml:space="preserve">End Sub</x:t>
        </x:is>
      </x:c>
      <x:c r="B71" s="2" t="n"/>
      <x:c r="C71" s="2" t="n"/>
      <x:c r="D71" s="2" t="n"/>
    </x:row>
    <x:row r="72" s="113" customFormat="1" ht="21.75" customHeight="1">
      <x:c r="A72" s="87" t="inlineStr">
        <x:is>
          <x:t xml:space="preserve">💡 批次匯出 PDF 是辦公室最受歡迎的自動化之一</x:t>
        </x:is>
      </x:c>
      <x:c r="B72" s="2" t="n"/>
      <x:c r="C72" s="2" t="n"/>
      <x:c r="D72" s="2" t="n"/>
    </x:row>
    <x:row r="74" s="113" customFormat="1" ht="21.75" customHeight="1">
      <x:c r="A74" s="84" t="inlineStr">
        <x:is>
          <x:t xml:space="preserve">實戰 4：自動寄送 Email（透過 Outlook）</x:t>
        </x:is>
      </x:c>
      <x:c r="B74" s="2" t="n"/>
      <x:c r="C74" s="2" t="n"/>
      <x:c r="D74" s="85" t="inlineStr">
        <x:is>
          <x:t xml:space="preserve">⏱ 3 分鐘</x:t>
        </x:is>
      </x:c>
    </x:row>
    <x:row r="75" s="113" customFormat="1" ht="15.75" customHeight="1">
      <x:c r="A75" s="86" t="inlineStr">
        <x:is>
          <x:t xml:space="preserve">Sub SendEmail()</x:t>
        </x:is>
      </x:c>
      <x:c r="B75" s="2" t="n"/>
      <x:c r="C75" s="2" t="n"/>
      <x:c r="D75" s="2" t="n"/>
    </x:row>
    <x:row r="76" s="113" customFormat="1" ht="15.75" customHeight="1">
      <x:c r="A76" s="86" t="inlineStr">
        <x:is>
          <x:t xml:space="preserve">    Dim olApp As Object, olMail As Object</x:t>
        </x:is>
      </x:c>
      <x:c r="B76" s="2" t="n"/>
      <x:c r="C76" s="2" t="n"/>
      <x:c r="D76" s="2" t="n"/>
    </x:row>
    <x:row r="77" s="113" customFormat="1" ht="15.75" customHeight="1">
      <x:c r="A77" s="86" t="inlineStr">
        <x:is>
          <x:t xml:space="preserve">    Set olApp = CreateObject("Outlook.Application")</x:t>
        </x:is>
      </x:c>
      <x:c r="B77" s="2" t="n"/>
      <x:c r="C77" s="2" t="n"/>
      <x:c r="D77" s="2" t="n"/>
    </x:row>
    <x:row r="78" s="113" customFormat="1" ht="15.75" customHeight="1">
      <x:c r="A78" s="86" t="inlineStr">
        <x:is>
          <x:t xml:space="preserve">    Set olMail = olApp.CreateItem(0)</x:t>
        </x:is>
      </x:c>
      <x:c r="B78" s="2" t="n"/>
      <x:c r="C78" s="2" t="n"/>
      <x:c r="D78" s="2" t="n"/>
    </x:row>
    <x:row r="79" s="113" customFormat="1" ht="15.75" customHeight="1">
      <x:c r="A79" s="86" t="inlineStr">
        <x:is>
          <x:t xml:space="preserve">    </x:t>
        </x:is>
      </x:c>
      <x:c r="B79" s="2" t="n"/>
      <x:c r="C79" s="2" t="n"/>
      <x:c r="D79" s="2" t="n"/>
    </x:row>
    <x:row r="80" s="113" customFormat="1" ht="15.75" customHeight="1">
      <x:c r="A80" s="86" t="inlineStr">
        <x:is>
          <x:t xml:space="preserve">    With olMail</x:t>
        </x:is>
      </x:c>
      <x:c r="B80" s="2" t="n"/>
      <x:c r="C80" s="2" t="n"/>
      <x:c r="D80" s="2" t="n"/>
    </x:row>
    <x:row r="81" s="113" customFormat="1" ht="15.75" customHeight="1">
      <x:c r="A81" s="86" t="inlineStr">
        <x:is>
          <x:t xml:space="preserve">        .To = "colleague@company.com"</x:t>
        </x:is>
      </x:c>
      <x:c r="B81" s="2" t="n"/>
      <x:c r="C81" s="2" t="n"/>
      <x:c r="D81" s="2" t="n"/>
    </x:row>
    <x:row r="82" s="113" customFormat="1" ht="15.75" customHeight="1">
      <x:c r="A82" s="86" t="inlineStr">
        <x:is>
          <x:t xml:space="preserve">        .Subject = "自動報表 " &amp; Format(Date, "YYYY/MM/DD")</x:t>
        </x:is>
      </x:c>
      <x:c r="B82" s="2" t="n"/>
      <x:c r="C82" s="2" t="n"/>
      <x:c r="D82" s="2" t="n"/>
    </x:row>
    <x:row r="83" s="113" customFormat="1" ht="15.75" customHeight="1">
      <x:c r="A83" s="86" t="inlineStr">
        <x:is>
          <x:t xml:space="preserve">        .Body = "附件為今日報表，請查閱。"</x:t>
        </x:is>
      </x:c>
      <x:c r="B83" s="2" t="n"/>
      <x:c r="C83" s="2" t="n"/>
      <x:c r="D83" s="2" t="n"/>
    </x:row>
    <x:row r="84" s="113" customFormat="1" ht="15.75" customHeight="1">
      <x:c r="A84" s="86" t="inlineStr">
        <x:is>
          <x:t xml:space="preserve">        .Attachments.Add ThisWorkbook.FullName</x:t>
        </x:is>
      </x:c>
      <x:c r="B84" s="2" t="n"/>
      <x:c r="C84" s="2" t="n"/>
      <x:c r="D84" s="2" t="n"/>
    </x:row>
    <x:row r="85" s="113" customFormat="1" ht="15.75" customHeight="1">
      <x:c r="A85" s="86" t="inlineStr">
        <x:is>
          <x:t xml:space="preserve">        .Display  ' 改成 .Send 直接寄出</x:t>
        </x:is>
      </x:c>
      <x:c r="B85" s="2" t="n"/>
      <x:c r="C85" s="2" t="n"/>
      <x:c r="D85" s="2" t="n"/>
    </x:row>
    <x:row r="86" s="113" customFormat="1" ht="15.75" customHeight="1">
      <x:c r="A86" s="86" t="inlineStr">
        <x:is>
          <x:t xml:space="preserve">    End With</x:t>
        </x:is>
      </x:c>
      <x:c r="B86" s="2" t="n"/>
      <x:c r="C86" s="2" t="n"/>
      <x:c r="D86" s="2" t="n"/>
    </x:row>
    <x:row r="87" s="113" customFormat="1" ht="15.75" customHeight="1">
      <x:c r="A87" s="86" t="inlineStr">
        <x:is>
          <x:t xml:space="preserve">End Sub</x:t>
        </x:is>
      </x:c>
      <x:c r="B87" s="2" t="n"/>
      <x:c r="C87" s="2" t="n"/>
      <x:c r="D87" s="2" t="n"/>
    </x:row>
    <x:row r="88" s="113" customFormat="1" ht="21.75" customHeight="1">
      <x:c r="A88" s="87" t="inlineStr">
        <x:is>
          <x:t xml:space="preserve">💡 透過 Outlook 物件模型自動建立郵件</x:t>
        </x:is>
      </x:c>
      <x:c r="B88" s="2" t="n"/>
      <x:c r="C88" s="2" t="n"/>
      <x:c r="D88" s="2" t="n"/>
    </x:row>
    <x:row r="90" s="113" customFormat="1" ht="21.75" customHeight="1">
      <x:c r="A90" s="84" t="inlineStr">
        <x:is>
          <x:t xml:space="preserve">實戰 5：建立工作表目錄（含超連結）</x:t>
        </x:is>
      </x:c>
      <x:c r="B90" s="2" t="n"/>
      <x:c r="C90" s="2" t="n"/>
      <x:c r="D90" s="85" t="inlineStr">
        <x:is>
          <x:t xml:space="preserve">⏱ 3 分鐘</x:t>
        </x:is>
      </x:c>
    </x:row>
    <x:row r="91" s="113" customFormat="1" ht="15.75" customHeight="1">
      <x:c r="A91" s="86" t="inlineStr">
        <x:is>
          <x:t xml:space="preserve">Sub CreateIndex()</x:t>
        </x:is>
      </x:c>
      <x:c r="B91" s="2" t="n"/>
      <x:c r="C91" s="2" t="n"/>
      <x:c r="D91" s="2" t="n"/>
    </x:row>
    <x:row r="92" s="113" customFormat="1" ht="15.75" customHeight="1">
      <x:c r="A92" s="86" t="inlineStr">
        <x:is>
          <x:t xml:space="preserve">    Dim ws As Worksheet, idxWs As Worksheet</x:t>
        </x:is>
      </x:c>
      <x:c r="B92" s="2" t="n"/>
      <x:c r="C92" s="2" t="n"/>
      <x:c r="D92" s="2" t="n"/>
    </x:row>
    <x:row r="93" s="113" customFormat="1" ht="15.75" customHeight="1">
      <x:c r="A93" s="86" t="inlineStr">
        <x:is>
          <x:t xml:space="preserve">    Dim i As Integer</x:t>
        </x:is>
      </x:c>
      <x:c r="B93" s="2" t="n"/>
      <x:c r="C93" s="2" t="n"/>
      <x:c r="D93" s="2" t="n"/>
    </x:row>
    <x:row r="94" s="113" customFormat="1" ht="15.75" customHeight="1">
      <x:c r="A94" s="86" t="inlineStr">
        <x:is>
          <x:t xml:space="preserve">    </x:t>
        </x:is>
      </x:c>
      <x:c r="B94" s="2" t="n"/>
      <x:c r="C94" s="2" t="n"/>
      <x:c r="D94" s="2" t="n"/>
    </x:row>
    <x:row r="95" s="113" customFormat="1" ht="15.75" customHeight="1">
      <x:c r="A95" s="86" t="inlineStr">
        <x:is>
          <x:t xml:space="preserve">    On Error Resume Next</x:t>
        </x:is>
      </x:c>
      <x:c r="B95" s="2" t="n"/>
      <x:c r="C95" s="2" t="n"/>
      <x:c r="D95" s="2" t="n"/>
    </x:row>
    <x:row r="96" s="113" customFormat="1" ht="15.75" customHeight="1">
      <x:c r="A96" s="86" t="inlineStr">
        <x:is>
          <x:t xml:space="preserve">    Application.DisplayAlerts = False</x:t>
        </x:is>
      </x:c>
      <x:c r="B96" s="2" t="n"/>
      <x:c r="C96" s="2" t="n"/>
      <x:c r="D96" s="2" t="n"/>
    </x:row>
    <x:row r="97" s="113" customFormat="1" ht="15.75" customHeight="1">
      <x:c r="A97" s="86" t="inlineStr">
        <x:is>
          <x:t xml:space="preserve">    Sheets("目錄").Delete</x:t>
        </x:is>
      </x:c>
      <x:c r="B97" s="2" t="n"/>
      <x:c r="C97" s="2" t="n"/>
      <x:c r="D97" s="2" t="n"/>
    </x:row>
    <x:row r="98" s="113" customFormat="1" ht="15.75" customHeight="1">
      <x:c r="A98" s="86" t="inlineStr">
        <x:is>
          <x:t xml:space="preserve">    Application.DisplayAlerts = True</x:t>
        </x:is>
      </x:c>
      <x:c r="B98" s="2" t="n"/>
      <x:c r="C98" s="2" t="n"/>
      <x:c r="D98" s="2" t="n"/>
    </x:row>
    <x:row r="99" s="113" customFormat="1" ht="15.75" customHeight="1">
      <x:c r="A99" s="86" t="inlineStr">
        <x:is>
          <x:t xml:space="preserve">    On Error GoTo 0</x:t>
        </x:is>
      </x:c>
      <x:c r="B99" s="2" t="n"/>
      <x:c r="C99" s="2" t="n"/>
      <x:c r="D99" s="2" t="n"/>
    </x:row>
    <x:row r="100" s="113" customFormat="1" ht="15.75" customHeight="1">
      <x:c r="A100" s="86" t="inlineStr">
        <x:is>
          <x:t xml:space="preserve">    </x:t>
        </x:is>
      </x:c>
      <x:c r="B100" s="2" t="n"/>
      <x:c r="C100" s="2" t="n"/>
      <x:c r="D100" s="2" t="n"/>
    </x:row>
    <x:row r="101" s="113" customFormat="1" ht="15.75" customHeight="1">
      <x:c r="A101" s="86" t="inlineStr">
        <x:is>
          <x:t xml:space="preserve">    Set idxWs = Sheets.Add(Before:=Sheets(1))</x:t>
        </x:is>
      </x:c>
      <x:c r="B101" s="2" t="n"/>
      <x:c r="C101" s="2" t="n"/>
      <x:c r="D101" s="2" t="n"/>
    </x:row>
    <x:row r="102" s="113" customFormat="1" ht="15.75" customHeight="1">
      <x:c r="A102" s="86" t="inlineStr">
        <x:is>
          <x:t xml:space="preserve">    idxWs.Name = "目錄"</x:t>
        </x:is>
      </x:c>
      <x:c r="B102" s="2" t="n"/>
      <x:c r="C102" s="2" t="n"/>
      <x:c r="D102" s="2" t="n"/>
    </x:row>
    <x:row r="103" s="113" customFormat="1" ht="15.75" customHeight="1">
      <x:c r="A103" s="86" t="inlineStr">
        <x:is>
          <x:t xml:space="preserve">    idxWs.Range("A1").Value = "📋 工作表目錄"</x:t>
        </x:is>
      </x:c>
      <x:c r="B103" s="2" t="n"/>
      <x:c r="C103" s="2" t="n"/>
      <x:c r="D103" s="2" t="n"/>
    </x:row>
    <x:row r="104" s="113" customFormat="1" ht="15.75" customHeight="1">
      <x:c r="A104" s="86" t="inlineStr">
        <x:is>
          <x:t xml:space="preserve">    idxWs.Range("A1").Font.Size = 14</x:t>
        </x:is>
      </x:c>
      <x:c r="B104" s="2" t="n"/>
      <x:c r="C104" s="2" t="n"/>
      <x:c r="D104" s="2" t="n"/>
    </x:row>
    <x:row r="105" s="113" customFormat="1" ht="15.75" customHeight="1">
      <x:c r="A105" s="86" t="inlineStr">
        <x:is>
          <x:t xml:space="preserve">    idxWs.Range("A1").Font.Bold = True</x:t>
        </x:is>
      </x:c>
      <x:c r="B105" s="2" t="n"/>
      <x:c r="C105" s="2" t="n"/>
      <x:c r="D105" s="2" t="n"/>
    </x:row>
    <x:row r="106" s="113" customFormat="1" ht="15.75" customHeight="1">
      <x:c r="A106" s="86" t="inlineStr">
        <x:is>
          <x:t xml:space="preserve">    </x:t>
        </x:is>
      </x:c>
      <x:c r="B106" s="2" t="n"/>
      <x:c r="C106" s="2" t="n"/>
      <x:c r="D106" s="2" t="n"/>
    </x:row>
    <x:row r="107" s="113" customFormat="1" ht="15.75" customHeight="1">
      <x:c r="A107" s="86" t="inlineStr">
        <x:is>
          <x:t xml:space="preserve">    i = 3</x:t>
        </x:is>
      </x:c>
      <x:c r="B107" s="2" t="n"/>
      <x:c r="C107" s="2" t="n"/>
      <x:c r="D107" s="2" t="n"/>
    </x:row>
    <x:row r="108" s="113" customFormat="1" ht="15.75" customHeight="1">
      <x:c r="A108" s="86" t="inlineStr">
        <x:is>
          <x:t xml:space="preserve">    For Each ws In ThisWorkbook.Sheets</x:t>
        </x:is>
      </x:c>
      <x:c r="B108" s="2" t="n"/>
      <x:c r="C108" s="2" t="n"/>
      <x:c r="D108" s="2" t="n"/>
    </x:row>
    <x:row r="109" s="113" customFormat="1" ht="15.75" customHeight="1">
      <x:c r="A109" s="86" t="inlineStr">
        <x:is>
          <x:t xml:space="preserve">        If ws.Name &lt;&gt; "目錄" Then</x:t>
        </x:is>
      </x:c>
      <x:c r="B109" s="2" t="n"/>
      <x:c r="C109" s="2" t="n"/>
      <x:c r="D109" s="2" t="n"/>
    </x:row>
    <x:row r="110" s="113" customFormat="1" ht="15.75" customHeight="1">
      <x:c r="A110" s="86" t="inlineStr">
        <x:is>
          <x:t xml:space="preserve">            idxWs.Hyperlinks.Add _</x:t>
        </x:is>
      </x:c>
      <x:c r="B110" s="2" t="n"/>
      <x:c r="C110" s="2" t="n"/>
      <x:c r="D110" s="2" t="n"/>
    </x:row>
    <x:row r="111" s="113" customFormat="1" ht="15.75" customHeight="1">
      <x:c r="A111" s="86" t="inlineStr">
        <x:is>
          <x:t xml:space="preserve">                Anchor:=idxWs.Cells(i, 1), _</x:t>
        </x:is>
      </x:c>
      <x:c r="B111" s="2" t="n"/>
      <x:c r="C111" s="2" t="n"/>
      <x:c r="D111" s="2" t="n"/>
    </x:row>
    <x:row r="112" s="113" customFormat="1" ht="15.75" customHeight="1">
      <x:c r="A112" s="86" t="inlineStr">
        <x:is>
          <x:t xml:space="preserve">                Address:="", _</x:t>
        </x:is>
      </x:c>
      <x:c r="B112" s="2" t="n"/>
      <x:c r="C112" s="2" t="n"/>
      <x:c r="D112" s="2" t="n"/>
    </x:row>
    <x:row r="113" s="113" customFormat="1" ht="15.75" customHeight="1">
      <x:c r="A113" s="86" t="inlineStr">
        <x:is>
          <x:t xml:space="preserve">                SubAddress:="'" &amp; ws.Name &amp; "'!A1", _</x:t>
        </x:is>
      </x:c>
      <x:c r="B113" s="2" t="n"/>
      <x:c r="C113" s="2" t="n"/>
      <x:c r="D113" s="2" t="n"/>
    </x:row>
    <x:row r="114" s="113" customFormat="1" ht="15.75" customHeight="1">
      <x:c r="A114" s="86" t="inlineStr">
        <x:is>
          <x:t xml:space="preserve">                TextToDisplay:=ws.Name</x:t>
        </x:is>
      </x:c>
      <x:c r="B114" s="2" t="n"/>
      <x:c r="C114" s="2" t="n"/>
      <x:c r="D114" s="2" t="n"/>
    </x:row>
    <x:row r="115" s="113" customFormat="1" ht="15.75" customHeight="1">
      <x:c r="A115" s="86" t="inlineStr">
        <x:is>
          <x:t xml:space="preserve">            i = i + 1</x:t>
        </x:is>
      </x:c>
      <x:c r="B115" s="2" t="n"/>
      <x:c r="C115" s="2" t="n"/>
      <x:c r="D115" s="2" t="n"/>
    </x:row>
    <x:row r="116" s="113" customFormat="1" ht="15.75" customHeight="1">
      <x:c r="A116" s="86" t="inlineStr">
        <x:is>
          <x:t xml:space="preserve">        End If</x:t>
        </x:is>
      </x:c>
      <x:c r="B116" s="2" t="n"/>
      <x:c r="C116" s="2" t="n"/>
      <x:c r="D116" s="2" t="n"/>
    </x:row>
    <x:row r="117" s="113" customFormat="1" ht="15.75" customHeight="1">
      <x:c r="A117" s="86" t="inlineStr">
        <x:is>
          <x:t xml:space="preserve">    Next ws</x:t>
        </x:is>
      </x:c>
      <x:c r="B117" s="2" t="n"/>
      <x:c r="C117" s="2" t="n"/>
      <x:c r="D117" s="2" t="n"/>
    </x:row>
    <x:row r="118" s="113" customFormat="1" ht="15.75" customHeight="1">
      <x:c r="A118" s="86" t="inlineStr">
        <x:is>
          <x:t xml:space="preserve">    idxWs.Columns("A").AutoFit</x:t>
        </x:is>
      </x:c>
      <x:c r="B118" s="2" t="n"/>
      <x:c r="C118" s="2" t="n"/>
      <x:c r="D118" s="2" t="n"/>
    </x:row>
    <x:row r="119" s="113" customFormat="1" ht="15.75" customHeight="1">
      <x:c r="A119" s="86" t="inlineStr">
        <x:is>
          <x:t xml:space="preserve">End Sub</x:t>
        </x:is>
      </x:c>
      <x:c r="B119" s="2" t="n"/>
      <x:c r="C119" s="2" t="n"/>
      <x:c r="D119" s="2" t="n"/>
    </x:row>
    <x:row r="120" s="113" customFormat="1" ht="21.75" customHeight="1">
      <x:c r="A120" s="87" t="inlineStr">
        <x:is>
          <x:t xml:space="preserve">💡 自動目錄 + 超連結，方便在多工作表間導航</x:t>
        </x:is>
      </x:c>
      <x:c r="B120" s="2" t="n"/>
      <x:c r="C120" s="2" t="n"/>
      <x:c r="D120" s="2" t="n"/>
    </x:row>
    <x:row r="122" s="113" customFormat="1" ht="21.75" customHeight="1">
      <x:c r="A122" s="84" t="inlineStr">
        <x:is>
          <x:t xml:space="preserve">實戰 6：批次條件標色（取代手動格式化）</x:t>
        </x:is>
      </x:c>
      <x:c r="B122" s="2" t="n"/>
      <x:c r="C122" s="2" t="n"/>
      <x:c r="D122" s="85" t="inlineStr">
        <x:is>
          <x:t xml:space="preserve">⏱ 3 分鐘</x:t>
        </x:is>
      </x:c>
    </x:row>
    <x:row r="123" s="113" customFormat="1" ht="15.75" customHeight="1">
      <x:c r="A123" s="86" t="inlineStr">
        <x:is>
          <x:t xml:space="preserve">Sub ConditionalColor()</x:t>
        </x:is>
      </x:c>
      <x:c r="B123" s="2" t="n"/>
      <x:c r="C123" s="2" t="n"/>
      <x:c r="D123" s="2" t="n"/>
    </x:row>
    <x:row r="124" s="113" customFormat="1" ht="15.75" customHeight="1">
      <x:c r="A124" s="86" t="inlineStr">
        <x:is>
          <x:t xml:space="preserve">    Dim cell As Range</x:t>
        </x:is>
      </x:c>
      <x:c r="B124" s="2" t="n"/>
      <x:c r="C124" s="2" t="n"/>
      <x:c r="D124" s="2" t="n"/>
    </x:row>
    <x:row r="125" s="113" customFormat="1" ht="15.75" customHeight="1">
      <x:c r="A125" s="86" t="inlineStr">
        <x:is>
          <x:t xml:space="preserve">    For Each cell In Range("E2:E" &amp; Cells(Rows.Count, 5).End(xlUp).Row)</x:t>
        </x:is>
      </x:c>
      <x:c r="B125" s="2" t="n"/>
      <x:c r="C125" s="2" t="n"/>
      <x:c r="D125" s="2" t="n"/>
    </x:row>
    <x:row r="126" s="113" customFormat="1" ht="15.75" customHeight="1">
      <x:c r="A126" s="86" t="inlineStr">
        <x:is>
          <x:t xml:space="preserve">        Select Case True</x:t>
        </x:is>
      </x:c>
      <x:c r="B126" s="2" t="n"/>
      <x:c r="C126" s="2" t="n"/>
      <x:c r="D126" s="2" t="n"/>
    </x:row>
    <x:row r="127" s="113" customFormat="1" ht="15.75" customHeight="1">
      <x:c r="A127" s="86" t="inlineStr">
        <x:is>
          <x:t xml:space="preserve">            Case cell.Value &gt;= 50000</x:t>
        </x:is>
      </x:c>
      <x:c r="B127" s="2" t="n"/>
      <x:c r="C127" s="2" t="n"/>
      <x:c r="D127" s="2" t="n"/>
    </x:row>
    <x:row r="128" s="113" customFormat="1" ht="15.75" customHeight="1">
      <x:c r="A128" s="86" t="inlineStr">
        <x:is>
          <x:t xml:space="preserve">                cell.Interior.Color = RGB(198, 239, 206)  ' 綠</x:t>
        </x:is>
      </x:c>
      <x:c r="B128" s="2" t="n"/>
      <x:c r="C128" s="2" t="n"/>
      <x:c r="D128" s="2" t="n"/>
    </x:row>
    <x:row r="129" s="113" customFormat="1" ht="15.75" customHeight="1">
      <x:c r="A129" s="86" t="inlineStr">
        <x:is>
          <x:t xml:space="preserve">            Case cell.Value &gt;= 30000</x:t>
        </x:is>
      </x:c>
      <x:c r="B129" s="2" t="n"/>
      <x:c r="C129" s="2" t="n"/>
      <x:c r="D129" s="2" t="n"/>
    </x:row>
    <x:row r="130" s="113" customFormat="1" ht="15.75" customHeight="1">
      <x:c r="A130" s="86" t="inlineStr">
        <x:is>
          <x:t xml:space="preserve">                cell.Interior.Color = RGB(255, 235, 156)  ' 黃</x:t>
        </x:is>
      </x:c>
      <x:c r="B130" s="2" t="n"/>
      <x:c r="C130" s="2" t="n"/>
      <x:c r="D130" s="2" t="n"/>
    </x:row>
    <x:row r="131" s="113" customFormat="1" ht="15.75" customHeight="1">
      <x:c r="A131" s="86" t="inlineStr">
        <x:is>
          <x:t xml:space="preserve">            Case cell.Value &gt; 0</x:t>
        </x:is>
      </x:c>
      <x:c r="B131" s="2" t="n"/>
      <x:c r="C131" s="2" t="n"/>
      <x:c r="D131" s="2" t="n"/>
    </x:row>
    <x:row r="132" s="113" customFormat="1" ht="15.75" customHeight="1">
      <x:c r="A132" s="86" t="inlineStr">
        <x:is>
          <x:t xml:space="preserve">                cell.Interior.Color = RGB(255, 199, 206)  ' 紅</x:t>
        </x:is>
      </x:c>
      <x:c r="B132" s="2" t="n"/>
      <x:c r="C132" s="2" t="n"/>
      <x:c r="D132" s="2" t="n"/>
    </x:row>
    <x:row r="133" s="113" customFormat="1" ht="15.75" customHeight="1">
      <x:c r="A133" s="86" t="inlineStr">
        <x:is>
          <x:t xml:space="preserve">        End Select</x:t>
        </x:is>
      </x:c>
      <x:c r="B133" s="2" t="n"/>
      <x:c r="C133" s="2" t="n"/>
      <x:c r="D133" s="2" t="n"/>
    </x:row>
    <x:row r="134" s="113" customFormat="1" ht="15.75" customHeight="1">
      <x:c r="A134" s="86" t="inlineStr">
        <x:is>
          <x:t xml:space="preserve">    Next cell</x:t>
        </x:is>
      </x:c>
      <x:c r="B134" s="2" t="n"/>
      <x:c r="C134" s="2" t="n"/>
      <x:c r="D134" s="2" t="n"/>
    </x:row>
    <x:row r="135" s="113" customFormat="1" ht="15.75" customHeight="1">
      <x:c r="A135" s="86" t="inlineStr">
        <x:is>
          <x:t xml:space="preserve">End Sub</x:t>
        </x:is>
      </x:c>
      <x:c r="B135" s="2" t="n"/>
      <x:c r="C135" s="2" t="n"/>
      <x:c r="D135" s="2" t="n"/>
    </x:row>
    <x:row r="136" s="113" customFormat="1" ht="21.75" customHeight="1">
      <x:c r="A136" s="88" t="inlineStr">
        <x:is>
          <x:t xml:space="preserve">💡 Select Case True 是一個巧妙的多條件判斷寫法</x:t>
        </x:is>
      </x:c>
      <x:c r="B136" s="2" t="n"/>
      <x:c r="C136" s="2" t="n"/>
      <x:c r="D136" s="2" t="n"/>
    </x:row>
    <x:row r="138" s="113" customFormat="1" ht="21.75" customHeight="1">
      <x:c r="A138" s="84" t="inlineStr">
        <x:is>
          <x:t xml:space="preserve">實戰 7：效能優化技巧</x:t>
        </x:is>
      </x:c>
      <x:c r="B138" s="2" t="n"/>
      <x:c r="C138" s="2" t="n"/>
      <x:c r="D138" s="85" t="inlineStr">
        <x:is>
          <x:t xml:space="preserve">⏱ 2 分鐘</x:t>
        </x:is>
      </x:c>
    </x:row>
    <x:row r="139" s="113" customFormat="1" ht="15.75" customHeight="1">
      <x:c r="A139" s="86" t="inlineStr">
        <x:is>
          <x:t xml:space="preserve">Sub OptimizedMacro()</x:t>
        </x:is>
      </x:c>
      <x:c r="B139" s="2" t="n"/>
      <x:c r="C139" s="2" t="n"/>
      <x:c r="D139" s="2" t="n"/>
    </x:row>
    <x:row r="140" s="113" customFormat="1" ht="15.75" customHeight="1">
      <x:c r="A140" s="86" t="inlineStr">
        <x:is>
          <x:t xml:space="preserve">    ' ── 關閉更新提升效能 ──</x:t>
        </x:is>
      </x:c>
      <x:c r="B140" s="2" t="n"/>
      <x:c r="C140" s="2" t="n"/>
      <x:c r="D140" s="2" t="n"/>
    </x:row>
    <x:row r="141" s="113" customFormat="1" ht="15.75" customHeight="1">
      <x:c r="A141" s="86" t="inlineStr">
        <x:is>
          <x:t xml:space="preserve">    Application.ScreenUpdating = False</x:t>
        </x:is>
      </x:c>
      <x:c r="B141" s="2" t="n"/>
      <x:c r="C141" s="2" t="n"/>
      <x:c r="D141" s="2" t="n"/>
    </x:row>
    <x:row r="142" s="113" customFormat="1" ht="15.75" customHeight="1">
      <x:c r="A142" s="86" t="inlineStr">
        <x:is>
          <x:t xml:space="preserve">    Application.Calculation = xlCalculationManual</x:t>
        </x:is>
      </x:c>
      <x:c r="B142" s="2" t="n"/>
      <x:c r="C142" s="2" t="n"/>
      <x:c r="D142" s="2" t="n"/>
    </x:row>
    <x:row r="143" s="113" customFormat="1" ht="15.75" customHeight="1">
      <x:c r="A143" s="86" t="inlineStr">
        <x:is>
          <x:t xml:space="preserve">    Application.EnableEvents = False</x:t>
        </x:is>
      </x:c>
      <x:c r="B143" s="2" t="n"/>
      <x:c r="C143" s="2" t="n"/>
      <x:c r="D143" s="2" t="n"/>
    </x:row>
    <x:row r="144" s="113" customFormat="1" ht="15.75" customHeight="1">
      <x:c r="A144" s="86" t="inlineStr">
        <x:is>
          <x:t xml:space="preserve">    </x:t>
        </x:is>
      </x:c>
      <x:c r="B144" s="2" t="n"/>
      <x:c r="C144" s="2" t="n"/>
      <x:c r="D144" s="2" t="n"/>
    </x:row>
    <x:row r="145" s="113" customFormat="1" ht="15.75" customHeight="1">
      <x:c r="A145" s="86" t="inlineStr">
        <x:is>
          <x:t xml:space="preserve">    ' ... 你的主要程式碼 ...</x:t>
        </x:is>
      </x:c>
      <x:c r="B145" s="2" t="n"/>
      <x:c r="C145" s="2" t="n"/>
      <x:c r="D145" s="2" t="n"/>
    </x:row>
    <x:row r="146" s="113" customFormat="1" ht="15.75" customHeight="1">
      <x:c r="A146" s="86" t="inlineStr">
        <x:is>
          <x:t xml:space="preserve">    </x:t>
        </x:is>
      </x:c>
      <x:c r="B146" s="2" t="n"/>
      <x:c r="C146" s="2" t="n"/>
      <x:c r="D146" s="2" t="n"/>
    </x:row>
    <x:row r="147" s="113" customFormat="1" ht="15.75" customHeight="1">
      <x:c r="A147" s="86" t="inlineStr">
        <x:is>
          <x:t xml:space="preserve">    ' ── 恢復設定 ──</x:t>
        </x:is>
      </x:c>
      <x:c r="B147" s="2" t="n"/>
      <x:c r="C147" s="2" t="n"/>
      <x:c r="D147" s="2" t="n"/>
    </x:row>
    <x:row r="148" s="113" customFormat="1" ht="15.75" customHeight="1">
      <x:c r="A148" s="86" t="inlineStr">
        <x:is>
          <x:t xml:space="preserve">    Application.ScreenUpdating = True</x:t>
        </x:is>
      </x:c>
      <x:c r="B148" s="2" t="n"/>
      <x:c r="C148" s="2" t="n"/>
      <x:c r="D148" s="2" t="n"/>
    </x:row>
    <x:row r="149" s="113" customFormat="1" ht="15.75" customHeight="1">
      <x:c r="A149" s="86" t="inlineStr">
        <x:is>
          <x:t xml:space="preserve">    Application.Calculation = xlCalculationAutomatic</x:t>
        </x:is>
      </x:c>
      <x:c r="B149" s="2" t="n"/>
      <x:c r="C149" s="2" t="n"/>
      <x:c r="D149" s="2" t="n"/>
    </x:row>
    <x:row r="150" s="113" customFormat="1" ht="15.75" customHeight="1">
      <x:c r="A150" s="86" t="inlineStr">
        <x:is>
          <x:t xml:space="preserve">    Application.EnableEvents = True</x:t>
        </x:is>
      </x:c>
      <x:c r="B150" s="2" t="n"/>
      <x:c r="C150" s="2" t="n"/>
      <x:c r="D150" s="2" t="n"/>
    </x:row>
    <x:row r="151" s="113" customFormat="1" ht="15.75" customHeight="1">
      <x:c r="A151" s="86" t="inlineStr">
        <x:is>
          <x:t xml:space="preserve">End Sub</x:t>
        </x:is>
      </x:c>
      <x:c r="B151" s="2" t="n"/>
      <x:c r="C151" s="2" t="n"/>
      <x:c r="D151" s="2" t="n"/>
    </x:row>
    <x:row r="152" s="113" customFormat="1" ht="21.75" customHeight="1">
      <x:c r="A152" s="87" t="inlineStr">
        <x:is>
          <x:t xml:space="preserve">💡 大量操作時關閉畫面更新和自動計算，速度差 10 倍以上</x:t>
        </x:is>
      </x:c>
      <x:c r="B152" s="2" t="n"/>
      <x:c r="C152" s="2" t="n"/>
      <x:c r="D152" s="2" t="n"/>
    </x:row>
    <x:row r="154" s="113" customFormat="1" ht="21.75" customHeight="1">
      <x:c r="A154" s="84" t="inlineStr">
        <x:is>
          <x:t xml:space="preserve">實戰 8：完整錯誤處理框架</x:t>
        </x:is>
      </x:c>
      <x:c r="B154" s="2" t="n"/>
      <x:c r="C154" s="2" t="n"/>
      <x:c r="D154" s="85" t="inlineStr">
        <x:is>
          <x:t xml:space="preserve">⏱ 3 分鐘</x:t>
        </x:is>
      </x:c>
    </x:row>
    <x:row r="155" s="113" customFormat="1" ht="15.75" customHeight="1">
      <x:c r="A155" s="86" t="inlineStr">
        <x:is>
          <x:t xml:space="preserve">Sub ProfessionalSub()</x:t>
        </x:is>
      </x:c>
      <x:c r="B155" s="2" t="n"/>
      <x:c r="C155" s="2" t="n"/>
      <x:c r="D155" s="2" t="n"/>
    </x:row>
    <x:row r="156" s="113" customFormat="1" ht="15.75" customHeight="1">
      <x:c r="A156" s="86" t="inlineStr">
        <x:is>
          <x:t xml:space="preserve">    On Error GoTo ErrHandler</x:t>
        </x:is>
      </x:c>
      <x:c r="B156" s="2" t="n"/>
      <x:c r="C156" s="2" t="n"/>
      <x:c r="D156" s="2" t="n"/>
    </x:row>
    <x:row r="157" s="113" customFormat="1" ht="15.75" customHeight="1">
      <x:c r="A157" s="86" t="inlineStr">
        <x:is>
          <x:t xml:space="preserve">    Application.ScreenUpdating = False</x:t>
        </x:is>
      </x:c>
      <x:c r="B157" s="2" t="n"/>
      <x:c r="C157" s="2" t="n"/>
      <x:c r="D157" s="2" t="n"/>
    </x:row>
    <x:row r="158" s="113" customFormat="1" ht="15.75" customHeight="1">
      <x:c r="A158" s="86" t="inlineStr">
        <x:is>
          <x:t xml:space="preserve">    </x:t>
        </x:is>
      </x:c>
      <x:c r="B158" s="2" t="n"/>
      <x:c r="C158" s="2" t="n"/>
      <x:c r="D158" s="2" t="n"/>
    </x:row>
    <x:row r="159" s="113" customFormat="1" ht="15.75" customHeight="1">
      <x:c r="A159" s="86" t="inlineStr">
        <x:is>
          <x:t xml:space="preserve">    ' === 主要邏輯 ===</x:t>
        </x:is>
      </x:c>
      <x:c r="B159" s="2" t="n"/>
      <x:c r="C159" s="2" t="n"/>
      <x:c r="D159" s="2" t="n"/>
    </x:row>
    <x:row r="160" s="113" customFormat="1" ht="15.75" customHeight="1">
      <x:c r="A160" s="86" t="inlineStr">
        <x:is>
          <x:t xml:space="preserve">    ' ... 你的程式碼 ...</x:t>
        </x:is>
      </x:c>
      <x:c r="B160" s="2" t="n"/>
      <x:c r="C160" s="2" t="n"/>
      <x:c r="D160" s="2" t="n"/>
    </x:row>
    <x:row r="161" s="113" customFormat="1" ht="15.75" customHeight="1">
      <x:c r="A161" s="86" t="inlineStr">
        <x:is>
          <x:t xml:space="preserve">    </x:t>
        </x:is>
      </x:c>
      <x:c r="B161" s="2" t="n"/>
      <x:c r="C161" s="2" t="n"/>
      <x:c r="D161" s="2" t="n"/>
    </x:row>
    <x:row r="162" s="113" customFormat="1" ht="15.75" customHeight="1">
      <x:c r="A162" s="86" t="inlineStr">
        <x:is>
          <x:t xml:space="preserve">CleanUp:</x:t>
        </x:is>
      </x:c>
      <x:c r="B162" s="2" t="n"/>
      <x:c r="C162" s="2" t="n"/>
      <x:c r="D162" s="2" t="n"/>
    </x:row>
    <x:row r="163" s="113" customFormat="1" ht="15.75" customHeight="1">
      <x:c r="A163" s="86" t="inlineStr">
        <x:is>
          <x:t xml:space="preserve">    Application.ScreenUpdating = True</x:t>
        </x:is>
      </x:c>
      <x:c r="B163" s="2" t="n"/>
      <x:c r="C163" s="2" t="n"/>
      <x:c r="D163" s="2" t="n"/>
    </x:row>
    <x:row r="164" s="113" customFormat="1" ht="15.75" customHeight="1">
      <x:c r="A164" s="86" t="inlineStr">
        <x:is>
          <x:t xml:space="preserve">    Application.Calculation = xlCalculationAutomatic</x:t>
        </x:is>
      </x:c>
      <x:c r="B164" s="2" t="n"/>
      <x:c r="C164" s="2" t="n"/>
      <x:c r="D164" s="2" t="n"/>
    </x:row>
    <x:row r="165" s="113" customFormat="1" ht="15.75" customHeight="1">
      <x:c r="A165" s="86" t="inlineStr">
        <x:is>
          <x:t xml:space="preserve">    Exit Sub</x:t>
        </x:is>
      </x:c>
      <x:c r="B165" s="2" t="n"/>
      <x:c r="C165" s="2" t="n"/>
      <x:c r="D165" s="2" t="n"/>
    </x:row>
    <x:row r="166" s="113" customFormat="1" ht="15.75" customHeight="1">
      <x:c r="A166" s="86" t="inlineStr">
        <x:is>
          <x:t xml:space="preserve">    </x:t>
        </x:is>
      </x:c>
      <x:c r="B166" s="2" t="n"/>
      <x:c r="C166" s="2" t="n"/>
      <x:c r="D166" s="2" t="n"/>
    </x:row>
    <x:row r="167" s="113" customFormat="1" ht="15.75" customHeight="1">
      <x:c r="A167" s="86" t="inlineStr">
        <x:is>
          <x:t xml:space="preserve">ErrHandler:</x:t>
        </x:is>
      </x:c>
      <x:c r="B167" s="2" t="n"/>
      <x:c r="C167" s="2" t="n"/>
      <x:c r="D167" s="2" t="n"/>
    </x:row>
    <x:row r="168" s="113" customFormat="1" ht="15.75" customHeight="1">
      <x:c r="A168" s="86" t="inlineStr">
        <x:is>
          <x:t xml:space="preserve">    MsgBox "錯誤 " &amp; Err.Number &amp; ": " &amp; Err.Description, _</x:t>
        </x:is>
      </x:c>
      <x:c r="B168" s="2" t="n"/>
      <x:c r="C168" s="2" t="n"/>
      <x:c r="D168" s="2" t="n"/>
    </x:row>
    <x:row r="169" s="113" customFormat="1" ht="15.75" customHeight="1">
      <x:c r="A169" s="86" t="inlineStr">
        <x:is>
          <x:t xml:space="preserve">           vbCritical, "發生錯誤"</x:t>
        </x:is>
      </x:c>
      <x:c r="B169" s="2" t="n"/>
      <x:c r="C169" s="2" t="n"/>
      <x:c r="D169" s="2" t="n"/>
    </x:row>
    <x:row r="170" s="113" customFormat="1" ht="15.75" customHeight="1">
      <x:c r="A170" s="86" t="inlineStr">
        <x:is>
          <x:t xml:space="preserve">    Resume CleanUp</x:t>
        </x:is>
      </x:c>
      <x:c r="B170" s="2" t="n"/>
      <x:c r="C170" s="2" t="n"/>
      <x:c r="D170" s="2" t="n"/>
    </x:row>
    <x:row r="171" s="113" customFormat="1" ht="15.75" customHeight="1">
      <x:c r="A171" s="86" t="inlineStr">
        <x:is>
          <x:t xml:space="preserve">End Sub</x:t>
        </x:is>
      </x:c>
      <x:c r="B171" s="2" t="n"/>
      <x:c r="C171" s="2" t="n"/>
      <x:c r="D171" s="2" t="n"/>
    </x:row>
    <x:row r="172" s="113" customFormat="1" ht="21.75" customHeight="1">
      <x:c r="A172" s="87" t="inlineStr">
        <x:is>
          <x:t xml:space="preserve">💡 專業模板：錯誤處理 + 效能優化 + 清理，養成好習慣</x:t>
        </x:is>
      </x:c>
      <x:c r="B172" s="2" t="n"/>
      <x:c r="C172" s="2" t="n"/>
      <x:c r="D172" s="2" t="n"/>
    </x:row>
    <x:row r="175" s="113" customFormat="1" ht="30" customHeight="1">
      <x:c r="A175" s="89" t="inlineStr">
        <x:is>
          <x:t xml:space="preserve">🎯 動手練習（做完打 ✓，難度漸進！）</x:t>
        </x:is>
      </x:c>
      <x:c r="B175" s="11" t="n"/>
      <x:c r="C175" s="11" t="n"/>
      <x:c r="D175" s="12" t="n"/>
    </x:row>
    <x:row r="176" s="113" customFormat="1" ht="15.199999809265137" customHeight="1">
      <x:c r="A176" s="13" t="inlineStr">
        <x:is>
          <x:t xml:space="preserve">#</x:t>
        </x:is>
      </x:c>
      <x:c r="B176" s="13" t="inlineStr">
        <x:is>
          <x:t xml:space="preserve">✓</x:t>
        </x:is>
      </x:c>
      <x:c r="C176" s="13" t="inlineStr">
        <x:is>
          <x:t xml:space="preserve">難度</x:t>
        </x:is>
      </x:c>
      <x:c r="D176" s="13" t="inlineStr">
        <x:is>
          <x:t xml:space="preserve">任務描述</x:t>
        </x:is>
      </x:c>
    </x:row>
    <x:row r="177" s="113" customFormat="1" ht="36" customHeight="1">
      <x:c r="A177" s="14" t="n">
        <x:v>1</x:v>
      </x:c>
      <x:c r="B177" s="15" t="inlineStr">
        <x:is>
          <x:t xml:space="preserve">□</x:t>
        </x:is>
      </x:c>
      <x:c r="C177" s="14" t="inlineStr">
        <x:is>
          <x:t xml:space="preserve">🟢 暖身</x:t>
        </x:is>
      </x:c>
      <x:c r="D177" s="17" t="inlineStr">
        <x:is>
          <x:t xml:space="preserve">複製「自動產生月報表」範本 → 修改為你的資料結構 → 執行看結果是否正確</x:t>
        </x:is>
      </x:c>
    </x:row>
    <x:row r="178" s="113" customFormat="1" ht="36" customHeight="1">
      <x:c r="A178" s="14" t="n">
        <x:v>2</x:v>
      </x:c>
      <x:c r="B178" s="15" t="inlineStr">
        <x:is>
          <x:t xml:space="preserve">□</x:t>
        </x:is>
      </x:c>
      <x:c r="C178" s="14" t="inlineStr">
        <x:is>
          <x:t xml:space="preserve">🟢 暖身</x:t>
        </x:is>
      </x:c>
      <x:c r="D178" s="17" t="inlineStr">
        <x:is>
          <x:t xml:space="preserve">複製「建立工作表目錄」範本 → 執行 → 觀察超連結是否能正確跳轉</x:t>
        </x:is>
      </x:c>
    </x:row>
    <x:row r="179" s="113" customFormat="1" ht="36" customHeight="1">
      <x:c r="A179" s="18" t="n">
        <x:v>3</x:v>
      </x:c>
      <x:c r="B179" s="19" t="inlineStr">
        <x:is>
          <x:t xml:space="preserve">□</x:t>
        </x:is>
      </x:c>
      <x:c r="C179" s="18" t="inlineStr">
        <x:is>
          <x:t xml:space="preserve">🔵 標準</x:t>
        </x:is>
      </x:c>
      <x:c r="D179" s="21" t="inlineStr">
        <x:is>
          <x:t xml:space="preserve">寫一個「批次匯出 PDF」巨集：每個工作表匯出為獨立 PDF 到指定資料夾</x:t>
        </x:is>
      </x:c>
    </x:row>
    <x:row r="180" s="113" customFormat="1" ht="36" customHeight="1">
      <x:c r="A180" s="18" t="n">
        <x:v>4</x:v>
      </x:c>
      <x:c r="B180" s="19" t="inlineStr">
        <x:is>
          <x:t xml:space="preserve">□</x:t>
        </x:is>
      </x:c>
      <x:c r="C180" s="18" t="inlineStr">
        <x:is>
          <x:t xml:space="preserve">🔵 標準</x:t>
        </x:is>
      </x:c>
      <x:c r="D180" s="21" t="inlineStr">
        <x:is>
          <x:t xml:space="preserve">寫一個「資料驗證報告」：掃描所有儲存格找出空白、異常值、格式不一致，輸出報告</x:t>
        </x:is>
      </x:c>
    </x:row>
    <x:row r="181" s="113" customFormat="1" ht="36" customHeight="1">
      <x:c r="A181" s="22" t="n">
        <x:v>5</x:v>
      </x:c>
      <x:c r="B181" s="23" t="inlineStr">
        <x:is>
          <x:t xml:space="preserve">□</x:t>
        </x:is>
      </x:c>
      <x:c r="C181" s="22" t="inlineStr">
        <x:is>
          <x:t xml:space="preserve">🟡 變化</x:t>
        </x:is>
      </x:c>
      <x:c r="D181" s="25" t="inlineStr">
        <x:is>
          <x:t xml:space="preserve">建立一個自動化流程：讀取 CSV → 清洗 → 產生樞紐摘要 → 匯出 PDF，一鍵完成</x:t>
        </x:is>
      </x:c>
    </x:row>
    <x:row r="182" s="113" customFormat="1" ht="36" customHeight="1">
      <x:c r="A182" s="22" t="n">
        <x:v>6</x:v>
      </x:c>
      <x:c r="B182" s="23" t="inlineStr">
        <x:is>
          <x:t xml:space="preserve">□</x:t>
        </x:is>
      </x:c>
      <x:c r="C182" s="22" t="inlineStr">
        <x:is>
          <x:t xml:space="preserve">🟡 變化</x:t>
        </x:is>
      </x:c>
      <x:c r="D182" s="25" t="inlineStr">
        <x:is>
          <x:t xml:space="preserve">寫一個 Ribbon 自訂按鈕（⚠️ Mac 限制：用工具→巨集→指定鍵盤快速鍵替代）</x:t>
        </x:is>
      </x:c>
    </x:row>
    <x:row r="183" s="113" customFormat="1" ht="36" customHeight="1">
      <x:c r="A183" s="26" t="n">
        <x:v>7</x:v>
      </x:c>
      <x:c r="B183" s="27" t="inlineStr">
        <x:is>
          <x:t xml:space="preserve">□</x:t>
        </x:is>
      </x:c>
      <x:c r="C183" s="26" t="inlineStr">
        <x:is>
          <x:t xml:space="preserve">🔴 挑戰</x:t>
        </x:is>
      </x:c>
      <x:c r="D183" s="29" t="inlineStr">
        <x:is>
          <x:t xml:space="preserve">完整專案：模擬你的「核對表自動填入」邏輯，用 VBA 重寫（不用 Python）→ 比較兩種方式</x:t>
        </x:is>
      </x:c>
    </x:row>
    <x:row r="184" s="113" customFormat="1" ht="36" customHeight="1">
      <x:c r="A184" s="26" t="n">
        <x:v>8</x:v>
      </x:c>
      <x:c r="B184" s="27" t="inlineStr">
        <x:is>
          <x:t xml:space="preserve">□</x:t>
        </x:is>
      </x:c>
      <x:c r="C184" s="26" t="inlineStr">
        <x:is>
          <x:t xml:space="preserve">🔴 挑戰</x:t>
        </x:is>
      </x:c>
      <x:c r="D184" s="29" t="inlineStr">
        <x:is>
          <x:t xml:space="preserve">建立「模板引擎」：讀取範本工作表 → 批次替換佔位符 → 產生多份客製報表</x:t>
        </x:is>
      </x:c>
    </x:row>
  </x:sheetData>
  <x:mergeCells>
    <x:mergeCell ref="A5:D5"/>
    <x:mergeCell ref="A150:D150"/>
    <x:mergeCell ref="A144:D144"/>
    <x:mergeCell ref="A159:D159"/>
    <x:mergeCell ref="A97:D97"/>
    <x:mergeCell ref="A20:D20"/>
    <x:mergeCell ref="A72:D72"/>
    <x:mergeCell ref="A29:D29"/>
    <x:mergeCell ref="A134:D134"/>
    <x:mergeCell ref="A81:D81"/>
    <x:mergeCell ref="A112:D112"/>
    <x:mergeCell ref="A152:D152"/>
    <x:mergeCell ref="A161:D161"/>
    <x:mergeCell ref="A13:D13"/>
    <x:mergeCell ref="A44:D44"/>
    <x:mergeCell ref="A31:D31"/>
    <x:mergeCell ref="A114:D114"/>
    <x:mergeCell ref="A15:D15"/>
    <x:mergeCell ref="A64:D64"/>
    <x:mergeCell ref="A24:D24"/>
    <x:mergeCell ref="A51:D51"/>
    <x:mergeCell ref="A107:D107"/>
    <x:mergeCell ref="A60:D60"/>
    <x:mergeCell ref="A70:D70"/>
    <x:mergeCell ref="A124:D124"/>
    <x:mergeCell ref="A54:D54"/>
    <x:mergeCell ref="A7:D7"/>
    <x:mergeCell ref="A41:D41"/>
    <x:mergeCell ref="A16:D16"/>
    <x:mergeCell ref="A34:C34"/>
    <x:mergeCell ref="A172:D172"/>
    <x:mergeCell ref="A99:D99"/>
    <x:mergeCell ref="A164:D164"/>
    <x:mergeCell ref="A108:D108"/>
    <x:mergeCell ref="A56:D56"/>
    <x:mergeCell ref="A27:D27"/>
    <x:mergeCell ref="A138:C138"/>
    <x:mergeCell ref="A149:D149"/>
    <x:mergeCell ref="A163:D163"/>
    <x:mergeCell ref="A101:D101"/>
    <x:mergeCell ref="A2:D2"/>
    <x:mergeCell ref="A85:D85"/>
    <x:mergeCell ref="A42:D42"/>
    <x:mergeCell ref="A17:D17"/>
    <x:mergeCell ref="A126:D126"/>
    <x:mergeCell ref="A141:D141"/>
    <x:mergeCell ref="A22:D22"/>
    <x:mergeCell ref="A53:D53"/>
    <x:mergeCell ref="A35:D35"/>
    <x:mergeCell ref="A135:D135"/>
    <x:mergeCell ref="A62:D62"/>
    <x:mergeCell ref="A125:D125"/>
    <x:mergeCell ref="A19:D19"/>
    <x:mergeCell ref="A28:D28"/>
    <x:mergeCell ref="A117:D117"/>
    <x:mergeCell ref="A111:D111"/>
    <x:mergeCell ref="A9:D9"/>
    <x:mergeCell ref="A127:D127"/>
    <x:mergeCell ref="A167:D167"/>
    <x:mergeCell ref="A48:D48"/>
    <x:mergeCell ref="A30:D30"/>
    <x:mergeCell ref="A59:D59"/>
    <x:mergeCell ref="A142:D142"/>
    <x:mergeCell ref="A11:D11"/>
    <x:mergeCell ref="A4:C4"/>
    <x:mergeCell ref="A98:D98"/>
    <x:mergeCell ref="A169:D169"/>
    <x:mergeCell ref="A79:D79"/>
    <x:mergeCell ref="A61:D61"/>
    <x:mergeCell ref="A88:D88"/>
    <x:mergeCell ref="A162:D162"/>
    <x:mergeCell ref="A58:C58"/>
    <x:mergeCell ref="A128:D128"/>
    <x:mergeCell ref="A46:D46"/>
    <x:mergeCell ref="A136:D136"/>
    <x:mergeCell ref="A105:D105"/>
    <x:mergeCell ref="A145:D145"/>
    <x:mergeCell ref="A26:D26"/>
    <x:mergeCell ref="A139:D139"/>
    <x:mergeCell ref="A71:D71"/>
    <x:mergeCell ref="A129:D129"/>
    <x:mergeCell ref="A76:D76"/>
    <x:mergeCell ref="A116:D116"/>
    <x:mergeCell ref="A8:D8"/>
    <x:mergeCell ref="A91:D91"/>
    <x:mergeCell ref="A131:D131"/>
    <x:mergeCell ref="A100:D100"/>
    <x:mergeCell ref="A140:D140"/>
    <x:mergeCell ref="A171:D171"/>
    <x:mergeCell ref="A109:D109"/>
    <x:mergeCell ref="A52:D52"/>
    <x:mergeCell ref="A165:D165"/>
    <x:mergeCell ref="A63:D63"/>
    <x:mergeCell ref="A10:D10"/>
    <x:mergeCell ref="A115:D115"/>
    <x:mergeCell ref="A155:D155"/>
    <x:mergeCell ref="A93:D93"/>
    <x:mergeCell ref="A68:D68"/>
    <x:mergeCell ref="A47:D47"/>
    <x:mergeCell ref="A102:D102"/>
    <x:mergeCell ref="A77:D77"/>
    <x:mergeCell ref="A83:D83"/>
    <x:mergeCell ref="A143:D143"/>
    <x:mergeCell ref="A92:D92"/>
    <x:mergeCell ref="A157:D157"/>
    <x:mergeCell ref="A39:D39"/>
    <x:mergeCell ref="A166:D166"/>
    <x:mergeCell ref="A122:C122"/>
    <x:mergeCell ref="A49:D49"/>
    <x:mergeCell ref="A36:D36"/>
    <x:mergeCell ref="A1:D1"/>
    <x:mergeCell ref="A45:D45"/>
    <x:mergeCell ref="A94:D94"/>
    <x:mergeCell ref="A103:D103"/>
    <x:mergeCell ref="A168:D168"/>
    <x:mergeCell ref="A69:D69"/>
    <x:mergeCell ref="A78:D78"/>
    <x:mergeCell ref="A87:D87"/>
    <x:mergeCell ref="A65:D65"/>
    <x:mergeCell ref="A133:D133"/>
    <x:mergeCell ref="A80:D80"/>
    <x:mergeCell ref="A37:D37"/>
    <x:mergeCell ref="A120:D120"/>
    <x:mergeCell ref="A12:D12"/>
    <x:mergeCell ref="A21:D21"/>
    <x:mergeCell ref="A104:D104"/>
    <x:mergeCell ref="A113:D113"/>
    <x:mergeCell ref="A32:D32"/>
    <x:mergeCell ref="A14:D14"/>
    <x:mergeCell ref="A23:D23"/>
    <x:mergeCell ref="A90:C90"/>
    <x:mergeCell ref="A106:D106"/>
    <x:mergeCell ref="A38:D38"/>
    <x:mergeCell ref="A74:C74"/>
    <x:mergeCell ref="A96:D96"/>
    <x:mergeCell ref="A147:D147"/>
    <x:mergeCell ref="A43:D43"/>
    <x:mergeCell ref="A154:C154"/>
    <x:mergeCell ref="A156:D156"/>
    <x:mergeCell ref="A170:D170"/>
    <x:mergeCell ref="A40:D40"/>
    <x:mergeCell ref="A67:D67"/>
    <x:mergeCell ref="A130:D130"/>
    <x:mergeCell ref="A148:D148"/>
    <x:mergeCell ref="A82:D82"/>
    <x:mergeCell ref="A123:D123"/>
    <x:mergeCell ref="A132:D132"/>
    <x:mergeCell ref="A110:D110"/>
    <x:mergeCell ref="A146:D146"/>
    <x:mergeCell ref="A6:D6"/>
    <x:mergeCell ref="A119:D119"/>
    <x:mergeCell ref="A25:D25"/>
    <x:mergeCell ref="A84:D84"/>
    <x:mergeCell ref="A66:D66"/>
    <x:mergeCell ref="A118:D118"/>
    <x:mergeCell ref="A75:D75"/>
    <x:mergeCell ref="A18:D18"/>
    <x:mergeCell ref="A158:D158"/>
    <x:mergeCell ref="A50:D50"/>
    <x:mergeCell ref="A3:D3"/>
    <x:mergeCell ref="A55:D55"/>
    <x:mergeCell ref="A86:D86"/>
    <x:mergeCell ref="A95:D95"/>
    <x:mergeCell ref="A151:D151"/>
    <x:mergeCell ref="A160:D160"/>
    <x:mergeCell ref="A175:D17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8" style="113" customWidth="1"/>
    <x:col min="2" max="2" width="8" style="113" customWidth="1"/>
    <x:col min="3" max="3" width="40" style="113" customWidth="1"/>
    <x:col min="4" max="4" width="35" style="113" customWidth="1"/>
    <x:col min="5" max="5" width="14" style="113" customWidth="1"/>
    <x:col min="6" max="6" width="30" style="113" customWidth="1"/>
    <x:col min="8" max="8" width="13" style="113" customWidth="1"/>
  </x:cols>
  <x:sheetData>
    <x:row r="1">
      <x:c r="A1" s="220" t="inlineStr">
        <x:is>
          <x:t xml:space="preserve">🏆 進階綜合挑戰</x:t>
        </x:is>
      </x:c>
      <x:c r="G1" s="221" t="n"/>
      <x:c r="H1" s="221" t="n"/>
    </x:row>
    <x:row r="2">
      <x:c r="A2" s="222" t="inlineStr">
        <x:is>
          <x:t xml:space="preserve">在黃色邊框儲存格輸入公式 → 答對變綠 ✅ | 答錯變紅 ❌ | F欄提示選取可見</x:t>
        </x:is>
      </x:c>
      <x:c r="G2" s="221" t="n"/>
      <x:c r="H2" s="221" t="n"/>
    </x:row>
    <x:row r="3">
      <x:c r="A3" s="221" t="n"/>
      <x:c r="B3" s="221" t="n"/>
      <x:c r="C3" s="221" t="n"/>
      <x:c r="D3" s="221" t="n"/>
      <x:c r="E3" s="221" t="n"/>
      <x:c r="F3" s="221" t="n"/>
      <x:c r="G3" s="221" t="n"/>
      <x:c r="H3" s="221" t="n"/>
    </x:row>
    <x:row r="4">
      <x:c r="A4" s="223" t="inlineStr">
        <x:is>
          <x:t xml:space="preserve">📋 練習資料</x:t>
        </x:is>
      </x:c>
      <x:c r="H4" s="221" t="n"/>
    </x:row>
    <x:row r="5">
      <x:c r="A5" s="224" t="inlineStr">
        <x:is>
          <x:t xml:space="preserve">員工</x:t>
        </x:is>
      </x:c>
      <x:c r="B5" s="224" t="inlineStr">
        <x:is>
          <x:t xml:space="preserve">部門</x:t>
        </x:is>
      </x:c>
      <x:c r="C5" s="224" t="inlineStr">
        <x:is>
          <x:t xml:space="preserve">月薪</x:t>
        </x:is>
      </x:c>
      <x:c r="D5" s="224" t="inlineStr">
        <x:is>
          <x:t xml:space="preserve">Q1業績</x:t>
        </x:is>
      </x:c>
      <x:c r="E5" s="224" t="inlineStr">
        <x:is>
          <x:t xml:space="preserve">Q2業績</x:t>
        </x:is>
      </x:c>
      <x:c r="F5" s="224" t="inlineStr">
        <x:is>
          <x:t xml:space="preserve">Q3業績</x:t>
        </x:is>
      </x:c>
      <x:c r="G5" s="224" t="inlineStr">
        <x:is>
          <x:t xml:space="preserve">Q4業績</x:t>
        </x:is>
      </x:c>
      <x:c r="H5" s="221" t="n"/>
    </x:row>
    <x:row r="6">
      <x:c r="A6" s="225" t="inlineStr">
        <x:is>
          <x:t xml:space="preserve">王小明</x:t>
        </x:is>
      </x:c>
      <x:c r="B6" s="225" t="inlineStr">
        <x:is>
          <x:t xml:space="preserve">業務</x:t>
        </x:is>
      </x:c>
      <x:c r="C6" s="225" t="n">
        <x:v>55000</x:v>
      </x:c>
      <x:c r="D6" s="225" t="n">
        <x:v>120000</x:v>
      </x:c>
      <x:c r="E6" s="225" t="n">
        <x:v>135000</x:v>
      </x:c>
      <x:c r="F6" s="225" t="n">
        <x:v>98000</x:v>
      </x:c>
      <x:c r="G6" s="225" t="n">
        <x:v>145000</x:v>
      </x:c>
      <x:c r="H6" s="221" t="n"/>
    </x:row>
    <x:row r="7">
      <x:c r="A7" s="225" t="inlineStr">
        <x:is>
          <x:t xml:space="preserve">林美華</x:t>
        </x:is>
      </x:c>
      <x:c r="B7" s="225" t="inlineStr">
        <x:is>
          <x:t xml:space="preserve">財務</x:t>
        </x:is>
      </x:c>
      <x:c r="C7" s="225" t="n">
        <x:v>48000</x:v>
      </x:c>
      <x:c r="D7" s="225" t="n">
        <x:v>0</x:v>
      </x:c>
      <x:c r="E7" s="225" t="n">
        <x:v>0</x:v>
      </x:c>
      <x:c r="F7" s="225" t="n">
        <x:v>0</x:v>
      </x:c>
      <x:c r="G7" s="225" t="n">
        <x:v>0</x:v>
      </x:c>
      <x:c r="H7" s="221" t="n"/>
    </x:row>
    <x:row r="8">
      <x:c r="A8" s="225" t="inlineStr">
        <x:is>
          <x:t xml:space="preserve">張志偉</x:t>
        </x:is>
      </x:c>
      <x:c r="B8" s="225" t="inlineStr">
        <x:is>
          <x:t xml:space="preserve">業務</x:t>
        </x:is>
      </x:c>
      <x:c r="C8" s="225" t="n">
        <x:v>68000</x:v>
      </x:c>
      <x:c r="D8" s="225" t="n">
        <x:v>210000</x:v>
      </x:c>
      <x:c r="E8" s="225" t="n">
        <x:v>185000</x:v>
      </x:c>
      <x:c r="F8" s="225" t="n">
        <x:v>220000</x:v>
      </x:c>
      <x:c r="G8" s="225" t="n">
        <x:v>195000</x:v>
      </x:c>
      <x:c r="H8" s="221" t="n"/>
    </x:row>
    <x:row r="9">
      <x:c r="A9" s="225" t="inlineStr">
        <x:is>
          <x:t xml:space="preserve">陳雅琪</x:t>
        </x:is>
      </x:c>
      <x:c r="B9" s="225" t="inlineStr">
        <x:is>
          <x:t xml:space="preserve">資訊</x:t>
        </x:is>
      </x:c>
      <x:c r="C9" s="225" t="n">
        <x:v>42000</x:v>
      </x:c>
      <x:c r="D9" s="225" t="n">
        <x:v>0</x:v>
      </x:c>
      <x:c r="E9" s="225" t="n">
        <x:v>0</x:v>
      </x:c>
      <x:c r="F9" s="225" t="n">
        <x:v>0</x:v>
      </x:c>
      <x:c r="G9" s="225" t="n">
        <x:v>0</x:v>
      </x:c>
      <x:c r="H9" s="221" t="n"/>
    </x:row>
    <x:row r="10">
      <x:c r="A10" s="225" t="inlineStr">
        <x:is>
          <x:t xml:space="preserve">李大明</x:t>
        </x:is>
      </x:c>
      <x:c r="B10" s="225" t="inlineStr">
        <x:is>
          <x:t xml:space="preserve">業務</x:t>
        </x:is>
      </x:c>
      <x:c r="C10" s="225" t="n">
        <x:v>51000</x:v>
      </x:c>
      <x:c r="D10" s="225" t="n">
        <x:v>95000</x:v>
      </x:c>
      <x:c r="E10" s="225" t="n">
        <x:v>110000</x:v>
      </x:c>
      <x:c r="F10" s="225" t="n">
        <x:v>88000</x:v>
      </x:c>
      <x:c r="G10" s="225" t="n">
        <x:v>120000</x:v>
      </x:c>
      <x:c r="H10" s="221" t="n"/>
    </x:row>
    <x:row r="11">
      <x:c r="A11" s="225" t="inlineStr">
        <x:is>
          <x:t xml:space="preserve">吳建志</x:t>
        </x:is>
      </x:c>
      <x:c r="B11" s="225" t="inlineStr">
        <x:is>
          <x:t xml:space="preserve">財務</x:t>
        </x:is>
      </x:c>
      <x:c r="C11" s="225" t="n">
        <x:v>52000</x:v>
      </x:c>
      <x:c r="D11" s="225" t="n">
        <x:v>0</x:v>
      </x:c>
      <x:c r="E11" s="225" t="n">
        <x:v>0</x:v>
      </x:c>
      <x:c r="F11" s="225" t="n">
        <x:v>0</x:v>
      </x:c>
      <x:c r="G11" s="225" t="n">
        <x:v>0</x:v>
      </x:c>
      <x:c r="H11" s="221" t="n"/>
    </x:row>
    <x:row r="12">
      <x:c r="A12" s="221" t="n"/>
      <x:c r="B12" s="221" t="n"/>
      <x:c r="C12" s="221" t="n"/>
      <x:c r="D12" s="221" t="n"/>
      <x:c r="E12" s="221" t="n"/>
      <x:c r="F12" s="221" t="n"/>
      <x:c r="G12" s="221" t="n"/>
      <x:c r="H12" s="221" t="n"/>
    </x:row>
    <x:row r="13">
      <x:c r="A13" s="221" t="n"/>
      <x:c r="B13" s="221" t="n"/>
      <x:c r="C13" s="221" t="n"/>
      <x:c r="D13" s="221" t="n"/>
      <x:c r="E13" s="221" t="n"/>
      <x:c r="F13" s="221" t="n"/>
      <x:c r="G13" s="221" t="n"/>
      <x:c r="H13" s="221" t="n"/>
    </x:row>
    <x:row r="14">
      <x:c r="A14" s="223" t="inlineStr">
        <x:is>
          <x:t xml:space="preserve">🎯 練習題</x:t>
        </x:is>
      </x:c>
      <x:c r="G14" s="221" t="n"/>
      <x:c r="H14" s="221" t="n"/>
    </x:row>
    <x:row r="15">
      <x:c r="A15" s="226" t="inlineStr">
        <x:is>
          <x:t xml:space="preserve">難度</x:t>
        </x:is>
      </x:c>
      <x:c r="B15" s="226" t="inlineStr">
        <x:is>
          <x:t xml:space="preserve">題號</x:t>
        </x:is>
      </x:c>
      <x:c r="C15" s="226" t="inlineStr">
        <x:is>
          <x:t xml:space="preserve">任務描述</x:t>
        </x:is>
      </x:c>
      <x:c r="D15" s="226" t="inlineStr">
        <x:is>
          <x:t xml:space="preserve">你的答案 ▼</x:t>
        </x:is>
      </x:c>
      <x:c r="E15" s="226" t="inlineStr">
        <x:is>
          <x:t xml:space="preserve">結果</x:t>
        </x:is>
      </x:c>
      <x:c r="F15" s="226" t="inlineStr">
        <x:is>
          <x:t xml:space="preserve">提示（反白可見）</x:t>
        </x:is>
      </x:c>
      <x:c r="G15" s="221" t="n"/>
      <x:c r="H15" s="221" t="n"/>
    </x:row>
    <x:row r="16">
      <x:c r="A16" s="227" t="inlineStr">
        <x:is>
          <x:t xml:space="preserve">🟢</x:t>
        </x:is>
      </x:c>
      <x:c r="B16" s="225" t="n">
        <x:v>1</x:v>
      </x:c>
      <x:c r="C16" s="225" t="inlineStr">
        <x:is>
          <x:t xml:space="preserve">計算王小明的全年業績總和</x:t>
        </x:is>
      </x:c>
      <x:c r="D16" s="228" t="n"/>
      <x:c r="E16" s="225" t="str">
        <x:f>IF(D16="","",IF(ROUND(D16,2)=ROUND(H16,2),"✅ 正確！","❌ 再想想"))</x:f>
      </x:c>
      <x:c r="F16" s="229" t="inlineStr">
        <x:is>
          <x:t xml:space="preserve">SUM 橫向加總</x:t>
        </x:is>
      </x:c>
      <x:c r="G16" s="221" t="n"/>
      <x:c r="H16" s="216" t="n">
        <x:f>SUM(D6:G6)</x:f>
        <x:v>498000</x:v>
      </x:c>
    </x:row>
    <x:row r="17">
      <x:c r="A17" s="227" t="inlineStr">
        <x:is>
          <x:t xml:space="preserve">🟢</x:t>
        </x:is>
      </x:c>
      <x:c r="B17" s="225" t="n">
        <x:v>2</x:v>
      </x:c>
      <x:c r="C17" s="225" t="inlineStr">
        <x:is>
          <x:t xml:space="preserve">找出所有業務員中 Q1 業績最高者的名字</x:t>
        </x:is>
      </x:c>
      <x:c r="D17" s="228" t="n"/>
      <x:c r="E17" s="225" t="str">
        <x:f>IF(D17="","",IF(EXACT(TRIM(D17),TRIM(H17)),"✅ 正確！","❌ 再想想"))</x:f>
      </x:c>
      <x:c r="F17" s="229" t="inlineStr">
        <x:is>
          <x:t xml:space="preserve">INDEX+MATCH+MAX+IF 陣列公式</x:t>
        </x:is>
      </x:c>
      <x:c r="G17" s="221" t="n"/>
      <x:c r="H17" s="216" t="str">
        <x:f>INDEX(A6:A11,MATCH(MAX(IF(B6:B11="業務",D6:D11)),IF(B6:B11="業務",D6:D11),0))</x:f>
        <x:v>王小明</x:v>
      </x:c>
    </x:row>
    <x:row r="18">
      <x:c r="A18" s="230" t="inlineStr">
        <x:is>
          <x:t xml:space="preserve">🔵</x:t>
        </x:is>
      </x:c>
      <x:c r="B18" s="225" t="n">
        <x:v>3</x:v>
      </x:c>
      <x:c r="C18" s="225" t="inlineStr">
        <x:is>
          <x:t xml:space="preserve">計算業務部全年業績平均（含Q1~Q4）</x:t>
        </x:is>
      </x:c>
      <x:c r="D18" s="228" t="n"/>
      <x:c r="E18" s="225" t="str">
        <x:f>IF(D18="","",IF(ROUND(D18,2)=ROUND(H18,2),"✅ 正確！","❌ 再想想"))</x:f>
      </x:c>
      <x:c r="F18" s="229" t="inlineStr">
        <x:is>
          <x:t xml:space="preserve">4個AVERAGEIFS相加或用SUMPRODUCT</x:t>
        </x:is>
      </x:c>
      <x:c r="G18" s="221" t="n"/>
      <x:c r="H18" s="216" t="n">
        <x:f>AVERAGEIFS(D6:D11,B6:B11,"業務")+AVERAGEIFS(E6:E11,B6:B11,"業務")+AVERAGEIFS(F6:F11,B6:B11,"業務")+AVERAGEIFS(G6:G11,B6:B11,"業務")</x:f>
        <x:v>573666.6666666667</x:v>
      </x:c>
    </x:row>
    <x:row r="19">
      <x:c r="A19" s="230" t="inlineStr">
        <x:is>
          <x:t xml:space="preserve">🔵</x:t>
        </x:is>
      </x:c>
      <x:c r="B19" s="225" t="n">
        <x:v>4</x:v>
      </x:c>
      <x:c r="C19" s="225" t="inlineStr">
        <x:is>
          <x:t xml:space="preserve">用 RANK 計算王小明 Q1 業績在所有人中的排名</x:t>
        </x:is>
      </x:c>
      <x:c r="D19" s="228" t="n"/>
      <x:c r="E19" s="225" t="str">
        <x:f>IF(D19="","",IF(ROUND(D19,2)=ROUND(H19,2),"✅ 正確！","❌ 再想想"))</x:f>
      </x:c>
      <x:c r="F19" s="229" t="inlineStr">
        <x:is>
          <x:t xml:space="preserve">RANK(值,範圍)</x:t>
        </x:is>
      </x:c>
      <x:c r="G19" s="221" t="n"/>
      <x:c r="H19" s="216" t="n">
        <x:f>RANK(D6,D6:D11)</x:f>
        <x:v>2</x:v>
      </x:c>
    </x:row>
    <x:row r="20">
      <x:c r="A20" s="231" t="inlineStr">
        <x:is>
          <x:t xml:space="preserve">🟡</x:t>
        </x:is>
      </x:c>
      <x:c r="B20" s="225" t="n">
        <x:v>5</x:v>
      </x:c>
      <x:c r="C20" s="225" t="inlineStr">
        <x:is>
          <x:t xml:space="preserve">計算有業績（Q1&gt;0）的人數</x:t>
        </x:is>
      </x:c>
      <x:c r="D20" s="228" t="n"/>
      <x:c r="E20" s="225" t="str">
        <x:f>IF(D20="","",IF(ROUND(D20,2)=ROUND(H20,2),"✅ 正確！","❌ 再想想"))</x:f>
      </x:c>
      <x:c r="F20" s="229" t="inlineStr">
        <x:is>
          <x:t xml:space="preserve">COUNTIF(範圍,"&gt;0")</x:t>
        </x:is>
      </x:c>
      <x:c r="G20" s="221" t="n"/>
      <x:c r="H20" s="216" t="n">
        <x:f>COUNTIF(D6:D11,"&gt;"&amp;0)</x:f>
        <x:v>3</x:v>
      </x:c>
    </x:row>
    <x:row r="21">
      <x:c r="A21" s="231" t="inlineStr">
        <x:is>
          <x:t xml:space="preserve">🟡</x:t>
        </x:is>
      </x:c>
      <x:c r="B21" s="225" t="n">
        <x:v>6</x:v>
      </x:c>
      <x:c r="C21" s="225" t="inlineStr">
        <x:is>
          <x:t xml:space="preserve">計算業務部平均月薪與全公司平均月薪的差額</x:t>
        </x:is>
      </x:c>
      <x:c r="D21" s="228" t="n"/>
      <x:c r="E21" s="225" t="str">
        <x:f>IF(D21="","",IF(ROUND(D21,2)=ROUND(H21,2),"✅ 正確！","❌ 再想想"))</x:f>
      </x:c>
      <x:c r="F21" s="229" t="inlineStr">
        <x:is>
          <x:t xml:space="preserve">AVERAGEIF - AVERAGE</x:t>
        </x:is>
      </x:c>
      <x:c r="G21" s="221" t="n"/>
      <x:c r="H21" s="216" t="n">
        <x:f>AVERAGEIF(B6:B11,"業務",C6:C11)-AVERAGE(C6:C11)</x:f>
        <x:v>5333.333333333336</x:v>
      </x:c>
    </x:row>
    <x:row r="22">
      <x:c r="A22" s="232" t="inlineStr">
        <x:is>
          <x:t xml:space="preserve">🔴</x:t>
        </x:is>
      </x:c>
      <x:c r="B22" s="225" t="n">
        <x:v>7</x:v>
      </x:c>
      <x:c r="C22" s="225" t="inlineStr">
        <x:is>
          <x:t xml:space="preserve">用 IF+MAX 找出王小明最佳季度業績</x:t>
        </x:is>
      </x:c>
      <x:c r="D22" s="228" t="n"/>
      <x:c r="E22" s="225" t="str">
        <x:f>IF(D22="","",IF(ROUND(D22,2)=ROUND(H22,2),"✅ 正確！","❌ 再想想"))</x:f>
      </x:c>
      <x:c r="F22" s="229" t="inlineStr">
        <x:is>
          <x:t xml:space="preserve">MAX 橫向取最大值</x:t>
        </x:is>
      </x:c>
      <x:c r="G22" s="221" t="n"/>
      <x:c r="H22" s="216" t="n">
        <x:f>MAX(D6:G6)</x:f>
        <x:v>145000</x:v>
      </x:c>
    </x:row>
    <x:row r="23">
      <x:c r="A23" s="232" t="inlineStr">
        <x:is>
          <x:t xml:space="preserve">🔴</x:t>
        </x:is>
      </x:c>
      <x:c r="B23" s="225" t="n">
        <x:v>8</x:v>
      </x:c>
      <x:c r="C23" s="225" t="inlineStr">
        <x:is>
          <x:t xml:space="preserve">計算全公司薪資的標準差</x:t>
        </x:is>
      </x:c>
      <x:c r="D23" s="228" t="n"/>
      <x:c r="E23" s="225" t="str">
        <x:f>IF(D23="","",IF(ROUND(D23,2)=ROUND(H23,2),"✅ 正確！","❌ 再想想"))</x:f>
      </x:c>
      <x:c r="F23" s="229" t="inlineStr">
        <x:is>
          <x:t xml:space="preserve">STDEV(範圍) 樣本標準差</x:t>
        </x:is>
      </x:c>
      <x:c r="G23" s="221" t="n"/>
      <x:c r="H23" s="216" t="n">
        <x:f>STDEV(C6:C11)</x:f>
        <x:v>8710.147338975768</x:v>
      </x:c>
    </x:row>
    <x:row r="24">
      <x:c r="A24" s="221" t="n"/>
      <x:c r="B24" s="221" t="n"/>
      <x:c r="C24" s="221" t="n"/>
      <x:c r="D24" s="221" t="n"/>
      <x:c r="E24" s="221" t="n"/>
      <x:c r="F24" s="221" t="n"/>
      <x:c r="G24" s="221" t="n"/>
      <x:c r="H24" s="221" t="n"/>
    </x:row>
    <x:row r="25">
      <x:c r="A25" s="221" t="n"/>
      <x:c r="B25" s="221" t="n"/>
      <x:c r="C25" s="233" t="inlineStr">
        <x:is>
          <x:t xml:space="preserve">得分：</x:t>
        </x:is>
      </x:c>
      <x:c r="D25" s="234" t="str">
        <x:f>COUNTIF(E17:E24,"✅ 正確！") &amp; " / 8 正確"</x:f>
        <x:v>0 / 8 正確</x:v>
      </x:c>
      <x:c r="E25" s="221" t="n"/>
      <x:c r="F25" s="221" t="n"/>
      <x:c r="G25" s="221" t="n"/>
      <x:c r="H25" s="221" t="n"/>
    </x:row>
    <x:row r="26">
      <x:c r="A26" s="221" t="n"/>
      <x:c r="B26" s="221" t="n"/>
      <x:c r="C26" s="221" t="n"/>
      <x:c r="D26" s="221" t="n"/>
      <x:c r="E26" s="221" t="n"/>
      <x:c r="F26" s="221" t="n"/>
      <x:c r="G26" s="221" t="n"/>
      <x:c r="H26" s="221" t="n"/>
    </x:row>
  </x:sheetData>
  <x:mergeCells>
    <x:mergeCell ref="A2:F2"/>
    <x:mergeCell ref="A14:F14"/>
    <x:mergeCell ref="A1:F1"/>
    <x:mergeCell ref="A4:G4"/>
  </x:mergeCells>
  <x:conditionalFormatting sqref="D16:D16">
    <x:cfRule type="expression" dxfId="17" priority="1">
      <x:formula>AND(D16&lt;&gt;"",ROUND(D16,2)=ROUND(H16,2))</x:formula>
    </x:cfRule>
  </x:conditionalFormatting>
  <x:conditionalFormatting sqref="D17:D17">
    <x:cfRule type="expression" dxfId="17" priority="2">
      <x:formula>AND(D17&lt;&gt;"",EXACT(TRIM(D17),TRIM(H17)))</x:formula>
    </x:cfRule>
  </x:conditionalFormatting>
  <x:conditionalFormatting sqref="D18:D18">
    <x:cfRule type="expression" dxfId="17" priority="3">
      <x:formula>AND(D18&lt;&gt;"",ROUND(D18,2)=ROUND(H18,2))</x:formula>
    </x:cfRule>
  </x:conditionalFormatting>
  <x:conditionalFormatting sqref="D19:D19">
    <x:cfRule type="expression" dxfId="17" priority="4">
      <x:formula>AND(D19&lt;&gt;"",ROUND(D19,2)=ROUND(H19,2))</x:formula>
    </x:cfRule>
  </x:conditionalFormatting>
  <x:conditionalFormatting sqref="D20:D20">
    <x:cfRule type="expression" dxfId="17" priority="5">
      <x:formula>AND(D20&lt;&gt;"",ROUND(D20,2)=ROUND(H20,2))</x:formula>
    </x:cfRule>
  </x:conditionalFormatting>
  <x:conditionalFormatting sqref="D21:D21">
    <x:cfRule type="expression" dxfId="17" priority="6">
      <x:formula>AND(D21&lt;&gt;"",ROUND(D21,2)=ROUND(H21,2))</x:formula>
    </x:cfRule>
  </x:conditionalFormatting>
  <x:conditionalFormatting sqref="D22:D22">
    <x:cfRule type="expression" dxfId="17" priority="7">
      <x:formula>AND(D22&lt;&gt;"",ROUND(D22,2)=ROUND(H22,2))</x:formula>
    </x:cfRule>
  </x:conditionalFormatting>
  <x:conditionalFormatting sqref="D23:D23">
    <x:cfRule type="expression" dxfId="17" priority="8">
      <x:formula>AND(D23&lt;&gt;"",ROUND(D23,2)=ROUND(H23,2))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6" max="6" width="18" hidden="0" customWidth="1"/>
    <x:col min="3" max="3" width="12" hidden="0" customWidth="1"/>
    <x:col min="4" max="4" width="12" hidden="0" customWidth="1"/>
    <x:col min="5" max="5" width="12" hidden="0" customWidth="1"/>
    <x:col min="7" max="7" width="12" hidden="0" customWidth="1"/>
    <x:col min="8" max="8" width="16" hidden="0" customWidth="1"/>
    <x:col min="9" max="9" width="16" hidden="0" customWidth="1"/>
  </x:cols>
  <x:sheetData>
    <x:row r="1">
      <x:c r="A1" s="461" t="str">
        <x:v>P1-01 鍵盤操作練習</x:v>
      </x:c>
      <x:c r="B1" s="461" t="str">
        <x:v>P1-01 鍵盤操作練習</x:v>
      </x:c>
      <x:c r="C1" s="461" t="str">
        <x:v>P1-01 鍵盤操作練習</x:v>
      </x:c>
      <x:c r="D1" s="461" t="str">
        <x:v>P1-01 鍵盤操作練習</x:v>
      </x:c>
      <x:c r="E1" s="461" t="str">
        <x:v>P1-01 鍵盤操作練習</x:v>
      </x:c>
      <x:c r="F1" s="461" t="str">
        <x:v>P1-01 鍵盤操作練習</x:v>
      </x:c>
      <x:c r="G1" s="461" t="str">
        <x:v>P1-01 鍵盤操作練習</x:v>
      </x:c>
      <x:c r="H1" s="461" t="str">
        <x:v>P1-01 鍵盤操作練習</x:v>
      </x:c>
      <x:c r="I1" s="461" t="str">
        <x:v>P1-01 鍵盤操作練習</x:v>
      </x:c>
    </x:row>
    <x:row r="2">
      <x:c r="A2" s="467" t="str">
        <x:v>先照著做一次，再用快捷鍵重做一次。這張表的目標不是背快捷鍵，而是把常用動作練到不需要找選單。</x:v>
      </x:c>
      <x:c r="B2" s="467" t="str">
        <x:v>先照著做一次，再用快捷鍵重做一次。這張表的目標不是背快捷鍵，而是把常用動作練到不需要找選單。</x:v>
      </x:c>
      <x:c r="C2" s="467" t="str">
        <x:v>先照著做一次，再用快捷鍵重做一次。這張表的目標不是背快捷鍵，而是把常用動作練到不需要找選單。</x:v>
      </x:c>
      <x:c r="D2" s="467" t="str">
        <x:v>先照著做一次，再用快捷鍵重做一次。這張表的目標不是背快捷鍵，而是把常用動作練到不需要找選單。</x:v>
      </x:c>
      <x:c r="E2" s="467" t="str">
        <x:v>先照著做一次，再用快捷鍵重做一次。這張表的目標不是背快捷鍵，而是把常用動作練到不需要找選單。</x:v>
      </x:c>
      <x:c r="F2" s="467" t="str">
        <x:v>先照著做一次，再用快捷鍵重做一次。這張表的目標不是背快捷鍵，而是把常用動作練到不需要找選單。</x:v>
      </x:c>
      <x:c r="G2" s="467" t="str">
        <x:v>先照著做一次，再用快捷鍵重做一次。這張表的目標不是背快捷鍵，而是把常用動作練到不需要找選單。</x:v>
      </x:c>
      <x:c r="H2" s="467" t="str">
        <x:v>先照著做一次，再用快捷鍵重做一次。這張表的目標不是背快捷鍵，而是把常用動作練到不需要找選單。</x:v>
      </x:c>
      <x:c r="I2" s="467" t="str">
        <x:v>先照著做一次，再用快捷鍵重做一次。這張表的目標不是背快捷鍵，而是把常用動作練到不需要找選單。</x:v>
      </x:c>
    </x:row>
    <x:row r="4">
      <x:c r="A4" s="471" t="str">
        <x:v>常用快捷鍵</x:v>
      </x:c>
      <x:c r="F4" s="471" t="str">
        <x:v>鍵盤闖關流程</x:v>
      </x:c>
    </x:row>
    <x:row r="5">
      <x:c r="A5" s="479" t="str">
        <x:v>動作</x:v>
      </x:c>
      <x:c r="B5" s="479" t="str">
        <x:v>macOS</x:v>
      </x:c>
      <x:c r="C5" s="479" t="str">
        <x:v>Windows / WPS</x:v>
      </x:c>
      <x:c r="D5" s="479" t="str">
        <x:v>提醒</x:v>
      </x:c>
      <x:c r="F5" s="483" t="str">
        <x:v>步驟</x:v>
      </x:c>
      <x:c r="G5" s="483" t="str">
        <x:v>要做什麼</x:v>
      </x:c>
      <x:c r="H5" s="483" t="str">
        <x:v>完成標準</x:v>
      </x:c>
    </x:row>
    <x:row r="6">
      <x:c r="A6" s="475" t="str">
        <x:v>編輯儲存格</x:v>
      </x:c>
      <x:c r="B6" s="475" t="str">
        <x:v>F2 或 fn+F2</x:v>
      </x:c>
      <x:c r="C6" s="475" t="str">
        <x:v>F2</x:v>
      </x:c>
      <x:c r="D6" s="475" t="str">
        <x:v>MacBook 常要搭配 fn</x:v>
      </x:c>
      <x:c r="F6" s="475" t="str">
        <x:v>01</x:v>
      </x:c>
      <x:c r="G6" s="475" t="str">
        <x:v>先用滑鼠把 A13:E18 的資料整理成表格</x:v>
      </x:c>
      <x:c r="H6" s="475" t="str">
        <x:v>表格有篩選箭頭</x:v>
      </x:c>
    </x:row>
    <x:row r="7">
      <x:c r="A7" s="475" t="str">
        <x:v>建立表格</x:v>
      </x:c>
      <x:c r="B7" s="475" t="str">
        <x:v>⌃+T 或 ⌃+L</x:v>
      </x:c>
      <x:c r="C7" s="475" t="str">
        <x:v>Ctrl+T</x:v>
      </x:c>
      <x:c r="D7" s="475" t="str">
        <x:v>建立分析資料前先轉表格</x:v>
      </x:c>
      <x:c r="F7" s="475" t="str">
        <x:v>02</x:v>
      </x:c>
      <x:c r="G7" s="475" t="str">
        <x:v>在 F13:F18 算總業績</x:v>
      </x:c>
      <x:c r="H7" s="475" t="str">
        <x:v>能用填滿往下完成</x:v>
      </x:c>
    </x:row>
    <x:row r="8">
      <x:c r="A8" s="475" t="str">
        <x:v>向下填滿</x:v>
      </x:c>
      <x:c r="B8" s="475" t="str">
        <x:v>⌃+D</x:v>
      </x:c>
      <x:c r="C8" s="475" t="str">
        <x:v>Ctrl+D</x:v>
      </x:c>
      <x:c r="D8" s="475" t="str">
        <x:v>複製上方公式最快</x:v>
      </x:c>
      <x:c r="F8" s="475" t="str">
        <x:v>03</x:v>
      </x:c>
      <x:c r="G8" s="475" t="str">
        <x:v>在 G13:G18 標出是否達標</x:v>
      </x:c>
      <x:c r="H8" s="475" t="str">
        <x:v>會用 IF 或手動標記都可以</x:v>
      </x:c>
    </x:row>
    <x:row r="9">
      <x:c r="A9" s="475" t="str">
        <x:v>切換絕對參照</x:v>
      </x:c>
      <x:c r="B9" s="475" t="str">
        <x:v>⌘+T</x:v>
      </x:c>
      <x:c r="C9" s="475" t="str">
        <x:v>F4</x:v>
      </x:c>
      <x:c r="D9" s="475" t="str">
        <x:v>只在公式編輯中使用</x:v>
      </x:c>
      <x:c r="F9" s="475" t="str">
        <x:v>04</x:v>
      </x:c>
      <x:c r="G9" s="475" t="str">
        <x:v>再重做一次，盡量不用滑鼠</x:v>
      </x:c>
      <x:c r="H9" s="475" t="str">
        <x:v>能說出自己用了哪些快捷鍵</x:v>
      </x:c>
    </x:row>
    <x:row r="10">
      <x:c r="A10" s="475" t="str">
        <x:v>自動加總</x:v>
      </x:c>
      <x:c r="B10" s="475" t="str">
        <x:v>⌘+⇧+T</x:v>
      </x:c>
      <x:c r="C10" s="475" t="str">
        <x:v>Alt+=</x:v>
      </x:c>
      <x:c r="D10" s="475" t="str">
        <x:v>先選結果格再按</x:v>
      </x:c>
      <x:c r="F10" s="475" t="str">
        <x:v>05</x:v>
      </x:c>
      <x:c r="G10" s="475" t="str">
        <x:v>最後新增一列新資料</x:v>
      </x:c>
      <x:c r="H10" s="475" t="str">
        <x:v>表格與公式會自動擴展</x:v>
      </x:c>
    </x:row>
    <x:row r="11">
      <x:c r="A11" s="475" t="str">
        <x:v>顯示所有公式</x:v>
      </x:c>
      <x:c r="B11" s="475" t="str">
        <x:v>⌃+`</x:v>
      </x:c>
      <x:c r="C11" s="475" t="str">
        <x:v>Ctrl+`</x:v>
      </x:c>
      <x:c r="D11" s="475" t="str">
        <x:v>查公式錯誤時很好用</x:v>
      </x:c>
    </x:row>
    <x:row r="12">
      <x:c r="A12" s="471" t="str">
        <x:v>練習資料</x:v>
      </x:c>
    </x:row>
    <x:row r="13">
      <x:c r="A13" s="487" t="str">
        <x:v>姓名</x:v>
      </x:c>
      <x:c r="B13" s="487" t="str">
        <x:v>部門</x:v>
      </x:c>
      <x:c r="C13" s="487" t="str">
        <x:v>一月</x:v>
      </x:c>
      <x:c r="D13" s="487" t="str">
        <x:v>二月</x:v>
      </x:c>
      <x:c r="E13" s="487" t="str">
        <x:v>三月</x:v>
      </x:c>
      <x:c r="F13" s="487" t="str">
        <x:v>總業績</x:v>
      </x:c>
      <x:c r="G13" s="487" t="str">
        <x:v>是否達標</x:v>
      </x:c>
    </x:row>
    <x:row r="14">
      <x:c r="A14" s="475" t="str">
        <x:v>王小明</x:v>
      </x:c>
      <x:c r="B14" s="475" t="str">
        <x:v>業務</x:v>
      </x:c>
      <x:c r="C14" s="489" t="n">
        <x:v>52000</x:v>
      </x:c>
      <x:c r="D14" s="489" t="n">
        <x:v>55000</x:v>
      </x:c>
      <x:c r="E14" s="489" t="n">
        <x:v>61000</x:v>
      </x:c>
      <x:c r="F14" s="489" t="n">
        <x:f>SUM(C14:E14)</x:f>
        <x:v>168000</x:v>
      </x:c>
      <x:c r="G14" s="475" t="str">
        <x:f>IF(F14&gt;=160000,"達標","再加油")</x:f>
        <x:v>達標</x:v>
      </x:c>
    </x:row>
    <x:row r="15">
      <x:c r="A15" s="475" t="str">
        <x:v>林美華</x:v>
      </x:c>
      <x:c r="B15" s="475" t="str">
        <x:v>財務</x:v>
      </x:c>
      <x:c r="C15" s="489" t="n">
        <x:v>38000</x:v>
      </x:c>
      <x:c r="D15" s="489" t="n">
        <x:v>40000</x:v>
      </x:c>
      <x:c r="E15" s="489" t="n">
        <x:v>42000</x:v>
      </x:c>
      <x:c r="F15" s="489" t="n">
        <x:f>SUM(C15:E15)</x:f>
        <x:v>120000</x:v>
      </x:c>
      <x:c r="G15" s="475" t="str">
        <x:f>IF(F15&gt;=160000,"達標","再加油")</x:f>
        <x:v>再加油</x:v>
      </x:c>
    </x:row>
    <x:row r="16">
      <x:c r="A16" s="475" t="str">
        <x:v>張志偉</x:v>
      </x:c>
      <x:c r="B16" s="475" t="str">
        <x:v>業務</x:v>
      </x:c>
      <x:c r="C16" s="489" t="n">
        <x:v>68000</x:v>
      </x:c>
      <x:c r="D16" s="489" t="n">
        <x:v>72000</x:v>
      </x:c>
      <x:c r="E16" s="489" t="n">
        <x:v>70500</x:v>
      </x:c>
      <x:c r="F16" s="489" t="n">
        <x:f>SUM(C16:E16)</x:f>
        <x:v>210500</x:v>
      </x:c>
      <x:c r="G16" s="475" t="str">
        <x:f>IF(F16&gt;=160000,"達標","再加油")</x:f>
        <x:v>達標</x:v>
      </x:c>
    </x:row>
    <x:row r="17">
      <x:c r="A17" s="475" t="str">
        <x:v>陳雅婷</x:v>
      </x:c>
      <x:c r="B17" s="475" t="str">
        <x:v>人事</x:v>
      </x:c>
      <x:c r="C17" s="489" t="n">
        <x:v>31000</x:v>
      </x:c>
      <x:c r="D17" s="489" t="n">
        <x:v>36000</x:v>
      </x:c>
      <x:c r="E17" s="489" t="n">
        <x:v>39000</x:v>
      </x:c>
      <x:c r="F17" s="489" t="n">
        <x:f>SUM(C17:E17)</x:f>
        <x:v>106000</x:v>
      </x:c>
      <x:c r="G17" s="475" t="str">
        <x:f>IF(F17&gt;=160000,"達標","再加油")</x:f>
        <x:v>再加油</x:v>
      </x:c>
    </x:row>
    <x:row r="18">
      <x:c r="A18" s="475" t="str">
        <x:v>李建宏</x:v>
      </x:c>
      <x:c r="B18" s="475" t="str">
        <x:v>資訊</x:v>
      </x:c>
      <x:c r="C18" s="489" t="n">
        <x:v>47000</x:v>
      </x:c>
      <x:c r="D18" s="489" t="n">
        <x:v>51000</x:v>
      </x:c>
      <x:c r="E18" s="489" t="n">
        <x:v>53000</x:v>
      </x:c>
      <x:c r="F18" s="489" t="n">
        <x:f>SUM(C18:E18)</x:f>
        <x:v>151000</x:v>
      </x:c>
      <x:c r="G18" s="475" t="str">
        <x:f>IF(F18&gt;=160000,"達標","再加油")</x:f>
        <x:v>再加油</x:v>
      </x:c>
    </x:row>
    <x:row r="20">
      <x:c r="A20" s="491" t="str">
        <x:v>建議自測</x:v>
      </x:c>
      <x:c r="B20" s="491" t="str">
        <x:v>請在不開啟選單的情況下完成：編輯儲存格、向下填滿、建立表格、插入一列新資料。做完後回頭看哪一步最卡，那就是下一輪要刻意練習的地方。</x:v>
      </x:c>
      <x:c r="C20" s="491" t="str"/>
      <x:c r="D20" s="491" t="str"/>
      <x:c r="E20" s="491" t="str"/>
      <x:c r="F20" s="491" t="str"/>
      <x:c r="G20" s="491" t="str"/>
      <x:c r="H20" s="491" t="str"/>
      <x:c r="I20" s="491" t="str"/>
    </x:row>
    <x:row r="21">
      <x:c r="A21" s="491"/>
      <x:c r="B21" s="491"/>
      <x:c r="C21" s="491"/>
      <x:c r="D21" s="491"/>
      <x:c r="E21" s="491"/>
      <x:c r="F21" s="491"/>
      <x:c r="G21" s="491"/>
      <x:c r="H21" s="491"/>
      <x:c r="I21" s="491"/>
    </x:row>
    <x:row r="22">
      <x:c r="A22" s="491"/>
      <x:c r="B22" s="491"/>
      <x:c r="C22" s="491"/>
      <x:c r="D22" s="491"/>
      <x:c r="E22" s="491"/>
      <x:c r="F22" s="491"/>
      <x:c r="G22" s="491"/>
      <x:c r="H22" s="491"/>
      <x:c r="I22" s="491"/>
    </x:row>
    <x:row r="23">
      <x:c r="A23" s="491"/>
      <x:c r="B23" s="491"/>
      <x:c r="C23" s="491"/>
      <x:c r="D23" s="491"/>
      <x:c r="E23" s="491"/>
      <x:c r="F23" s="491"/>
      <x:c r="G23" s="491"/>
      <x:c r="H23" s="491"/>
      <x:c r="I23" s="491"/>
    </x:row>
  </x:sheetData>
  <x:mergeCells>
    <x:mergeCell ref="A1:I1"/>
    <x:mergeCell ref="A2:I2"/>
    <x:mergeCell ref="A20:I2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5" max="5" width="10" hidden="0" customWidth="1"/>
  </x:cols>
  <x:sheetData>
    <x:row r="1">
      <x:c r="A1" s="461" t="str">
        <x:v>P4-05 Power Pivot / 資料模型練習</x:v>
      </x:c>
      <x:c r="B1" s="461" t="str">
        <x:v>P4-05 Power Pivot / 資料模型練習</x:v>
      </x:c>
      <x:c r="C1" s="461" t="str">
        <x:v>P4-05 Power Pivot / 資料模型練習</x:v>
      </x:c>
      <x:c r="D1" s="461" t="str">
        <x:v>P4-05 Power Pivot / 資料模型練習</x:v>
      </x:c>
      <x:c r="E1" s="461" t="str">
        <x:v>P4-05 Power Pivot / 資料模型練習</x:v>
      </x:c>
      <x:c r="F1" s="461" t="str">
        <x:v>P4-05 Power Pivot / 資料模型練習</x:v>
      </x:c>
      <x:c r="G1" s="461" t="str">
        <x:v>P4-05 Power Pivot / 資料模型練習</x:v>
      </x:c>
      <x:c r="H1" s="461" t="str">
        <x:v>P4-05 Power Pivot / 資料模型練習</x:v>
      </x:c>
      <x:c r="I1" s="461" t="str">
        <x:v>P4-05 Power Pivot / 資料模型練習</x:v>
      </x:c>
      <x:c r="J1" s="461" t="str">
        <x:v>P4-05 Power Pivot / 資料模型練習</x:v>
      </x:c>
      <x:c r="K1" s="461" t="str">
        <x:v>P4-05 Power Pivot / 資料模型練習</x:v>
      </x:c>
    </x:row>
    <x:row r="2">
      <x:c r="A2" s="467" t="str">
        <x:v>先看三張表的關聯，再思考哪些分析用傳統公式會很痛苦。這張表不是要你背 DAX，而是先建立『什麼時候該用資料模型』的判斷力。</x:v>
      </x:c>
      <x:c r="B2" s="467" t="str">
        <x:v>先看三張表的關聯，再思考哪些分析用傳統公式會很痛苦。這張表不是要你背 DAX，而是先建立『什麼時候該用資料模型』的判斷力。</x:v>
      </x:c>
      <x:c r="C2" s="467" t="str">
        <x:v>先看三張表的關聯，再思考哪些分析用傳統公式會很痛苦。這張表不是要你背 DAX，而是先建立『什麼時候該用資料模型』的判斷力。</x:v>
      </x:c>
      <x:c r="D2" s="467" t="str">
        <x:v>先看三張表的關聯，再思考哪些分析用傳統公式會很痛苦。這張表不是要你背 DAX，而是先建立『什麼時候該用資料模型』的判斷力。</x:v>
      </x:c>
      <x:c r="E2" s="467" t="str">
        <x:v>先看三張表的關聯，再思考哪些分析用傳統公式會很痛苦。這張表不是要你背 DAX，而是先建立『什麼時候該用資料模型』的判斷力。</x:v>
      </x:c>
      <x:c r="F2" s="467" t="str">
        <x:v>先看三張表的關聯，再思考哪些分析用傳統公式會很痛苦。這張表不是要你背 DAX，而是先建立『什麼時候該用資料模型』的判斷力。</x:v>
      </x:c>
      <x:c r="G2" s="467" t="str">
        <x:v>先看三張表的關聯，再思考哪些分析用傳統公式會很痛苦。這張表不是要你背 DAX，而是先建立『什麼時候該用資料模型』的判斷力。</x:v>
      </x:c>
      <x:c r="H2" s="467" t="str">
        <x:v>先看三張表的關聯，再思考哪些分析用傳統公式會很痛苦。這張表不是要你背 DAX，而是先建立『什麼時候該用資料模型』的判斷力。</x:v>
      </x:c>
      <x:c r="I2" s="467" t="str">
        <x:v>先看三張表的關聯，再思考哪些分析用傳統公式會很痛苦。這張表不是要你背 DAX，而是先建立『什麼時候該用資料模型』的判斷力。</x:v>
      </x:c>
      <x:c r="J2" s="467" t="str">
        <x:v>先看三張表的關聯，再思考哪些分析用傳統公式會很痛苦。這張表不是要你背 DAX，而是先建立『什麼時候該用資料模型』的判斷力。</x:v>
      </x:c>
      <x:c r="K2" s="467" t="str">
        <x:v>先看三張表的關聯，再思考哪些分析用傳統公式會很痛苦。這張表不是要你背 DAX，而是先建立『什麼時候該用資料模型』的判斷力。</x:v>
      </x:c>
    </x:row>
    <x:row r="4">
      <x:c r="A4" s="471" t="str">
        <x:v>Customers</x:v>
      </x:c>
      <x:c r="F4" s="471" t="str">
        <x:v>Products</x:v>
      </x:c>
    </x:row>
    <x:row r="5">
      <x:c r="A5" s="479" t="str">
        <x:v>CustomerID</x:v>
      </x:c>
      <x:c r="B5" s="479" t="str">
        <x:v>客戶名稱</x:v>
      </x:c>
      <x:c r="C5" s="479" t="str">
        <x:v>產業</x:v>
      </x:c>
      <x:c r="D5" s="479" t="str">
        <x:v>區域</x:v>
      </x:c>
      <x:c r="F5" s="487" t="str">
        <x:v>ProductID</x:v>
      </x:c>
      <x:c r="G5" s="487" t="str">
        <x:v>商品</x:v>
      </x:c>
      <x:c r="H5" s="487" t="str">
        <x:v>分類</x:v>
      </x:c>
      <x:c r="I5" s="493" t="str">
        <x:v>單價</x:v>
      </x:c>
    </x:row>
    <x:row r="6">
      <x:c r="A6" s="475" t="str">
        <x:v>C001</x:v>
      </x:c>
      <x:c r="B6" s="475" t="str">
        <x:v>宏達商行</x:v>
      </x:c>
      <x:c r="C6" s="475" t="str">
        <x:v>零售</x:v>
      </x:c>
      <x:c r="D6" s="475" t="str">
        <x:v>北區</x:v>
      </x:c>
      <x:c r="F6" s="475" t="str">
        <x:v>P100</x:v>
      </x:c>
      <x:c r="G6" s="475" t="str">
        <x:v>商用筆電</x:v>
      </x:c>
      <x:c r="H6" s="475" t="str">
        <x:v>硬體</x:v>
      </x:c>
      <x:c r="I6" s="489" t="n">
        <x:v>32000</x:v>
      </x:c>
    </x:row>
    <x:row r="7">
      <x:c r="A7" s="475" t="str">
        <x:v>C002</x:v>
      </x:c>
      <x:c r="B7" s="475" t="str">
        <x:v>新光科技</x:v>
      </x:c>
      <x:c r="C7" s="475" t="str">
        <x:v>科技</x:v>
      </x:c>
      <x:c r="D7" s="475" t="str">
        <x:v>北區</x:v>
      </x:c>
      <x:c r="F7" s="475" t="str">
        <x:v>P110</x:v>
      </x:c>
      <x:c r="G7" s="475" t="str">
        <x:v>無線滑鼠</x:v>
      </x:c>
      <x:c r="H7" s="475" t="str">
        <x:v>周邊</x:v>
      </x:c>
      <x:c r="I7" s="489" t="n">
        <x:v>890</x:v>
      </x:c>
    </x:row>
    <x:row r="8">
      <x:c r="A8" s="475" t="str">
        <x:v>C003</x:v>
      </x:c>
      <x:c r="B8" s="475" t="str">
        <x:v>永豐食品</x:v>
      </x:c>
      <x:c r="C8" s="475" t="str">
        <x:v>食品</x:v>
      </x:c>
      <x:c r="D8" s="475" t="str">
        <x:v>中區</x:v>
      </x:c>
      <x:c r="F8" s="475" t="str">
        <x:v>P120</x:v>
      </x:c>
      <x:c r="G8" s="475" t="str">
        <x:v>雲端訂閱</x:v>
      </x:c>
      <x:c r="H8" s="475" t="str">
        <x:v>軟體</x:v>
      </x:c>
      <x:c r="I8" s="489" t="n">
        <x:v>12800</x:v>
      </x:c>
    </x:row>
    <x:row r="9">
      <x:c r="A9" s="475" t="str">
        <x:v>C004</x:v>
      </x:c>
      <x:c r="B9" s="475" t="str">
        <x:v>群益物流</x:v>
      </x:c>
      <x:c r="C9" s="475" t="str">
        <x:v>物流</x:v>
      </x:c>
      <x:c r="D9" s="475" t="str">
        <x:v>南區</x:v>
      </x:c>
      <x:c r="F9" s="475" t="str">
        <x:v>P130</x:v>
      </x:c>
      <x:c r="G9" s="475" t="str">
        <x:v>顧問服務</x:v>
      </x:c>
      <x:c r="H9" s="475" t="str">
        <x:v>服務</x:v>
      </x:c>
      <x:c r="I9" s="489" t="n">
        <x:v>24000</x:v>
      </x:c>
    </x:row>
    <x:row r="10">
      <x:c r="A10" s="475" t="str">
        <x:v>C005</x:v>
      </x:c>
      <x:c r="B10" s="475" t="str">
        <x:v>星宇設計</x:v>
      </x:c>
      <x:c r="C10" s="475" t="str">
        <x:v>服務</x:v>
      </x:c>
      <x:c r="D10" s="475" t="str">
        <x:v>南區</x:v>
      </x:c>
      <x:c r="F10" s="475" t="str">
        <x:v>P140</x:v>
      </x:c>
      <x:c r="G10" s="475" t="str">
        <x:v>顯示器</x:v>
      </x:c>
      <x:c r="H10" s="475" t="str">
        <x:v>硬體</x:v>
      </x:c>
      <x:c r="I10" s="475" t="n">
        <x:v>7900</x:v>
      </x:c>
    </x:row>
    <x:row r="13">
      <x:c r="A13" s="471" t="str">
        <x:v>Orders</x:v>
      </x:c>
      <x:c r="I13" s="471" t="str">
        <x:v>建模思考題</x:v>
      </x:c>
    </x:row>
    <x:row r="14">
      <x:c r="A14" s="483" t="str">
        <x:v>OrderID</x:v>
      </x:c>
      <x:c r="B14" s="483" t="str">
        <x:v>月份</x:v>
      </x:c>
      <x:c r="C14" s="483" t="str">
        <x:v>CustomerID</x:v>
      </x:c>
      <x:c r="D14" s="483" t="str">
        <x:v>ProductID</x:v>
      </x:c>
      <x:c r="E14" s="483" t="str">
        <x:v>數量</x:v>
      </x:c>
      <x:c r="F14" s="483" t="str">
        <x:v>單價</x:v>
      </x:c>
      <x:c r="G14" s="483" t="str">
        <x:v>金額</x:v>
      </x:c>
      <x:c r="I14" s="497" t="str">
        <x:v>題目</x:v>
      </x:c>
      <x:c r="J14" s="497" t="str">
        <x:v>先想什麼</x:v>
      </x:c>
    </x:row>
    <x:row r="15">
      <x:c r="A15" s="475" t="str">
        <x:v>O-2401</x:v>
      </x:c>
      <x:c r="B15" s="475" t="str">
        <x:v>2026-01</x:v>
      </x:c>
      <x:c r="C15" s="475" t="str">
        <x:v>C001</x:v>
      </x:c>
      <x:c r="D15" s="475" t="str">
        <x:v>P110</x:v>
      </x:c>
      <x:c r="E15" s="475" t="n">
        <x:v>18</x:v>
      </x:c>
      <x:c r="F15" s="489" t="n">
        <x:v>890</x:v>
      </x:c>
      <x:c r="G15" s="489" t="n">
        <x:f>E15*F15</x:f>
        <x:v>16020</x:v>
      </x:c>
      <x:c r="I15" s="475" t="str">
        <x:v>各區營收</x:v>
      </x:c>
      <x:c r="J15" s="475" t="str">
        <x:v>Orders 要連到 Customers 才能用區域切營收</x:v>
      </x:c>
    </x:row>
    <x:row r="16">
      <x:c r="A16" s="475" t="str">
        <x:v>O-2402</x:v>
      </x:c>
      <x:c r="B16" s="475" t="str">
        <x:v>2026-01</x:v>
      </x:c>
      <x:c r="C16" s="475" t="str">
        <x:v>C002</x:v>
      </x:c>
      <x:c r="D16" s="475" t="str">
        <x:v>P100</x:v>
      </x:c>
      <x:c r="E16" s="475" t="n">
        <x:v>3</x:v>
      </x:c>
      <x:c r="F16" s="489" t="n">
        <x:v>32000</x:v>
      </x:c>
      <x:c r="G16" s="489" t="n">
        <x:f>E16*F16</x:f>
        <x:v>96000</x:v>
      </x:c>
      <x:c r="I16" s="475" t="str">
        <x:v>各分類銷量</x:v>
      </x:c>
      <x:c r="J16" s="475" t="str">
        <x:v>Orders 要連到 Products 才能看分類</x:v>
      </x:c>
    </x:row>
    <x:row r="17">
      <x:c r="A17" s="475" t="str">
        <x:v>O-2403</x:v>
      </x:c>
      <x:c r="B17" s="475" t="str">
        <x:v>2026-02</x:v>
      </x:c>
      <x:c r="C17" s="475" t="str">
        <x:v>C003</x:v>
      </x:c>
      <x:c r="D17" s="475" t="str">
        <x:v>P120</x:v>
      </x:c>
      <x:c r="E17" s="475" t="n">
        <x:v>5</x:v>
      </x:c>
      <x:c r="F17" s="489" t="n">
        <x:v>12800</x:v>
      </x:c>
      <x:c r="G17" s="489" t="n">
        <x:f>E17*F17</x:f>
        <x:v>64000</x:v>
      </x:c>
      <x:c r="I17" s="475" t="str">
        <x:v>同客戶跨月購買</x:v>
      </x:c>
      <x:c r="J17" s="475" t="str">
        <x:v>一個客戶會出現在多筆訂單，不能只靠單表整理</x:v>
      </x:c>
    </x:row>
    <x:row r="18">
      <x:c r="A18" s="475" t="str">
        <x:v>O-2404</x:v>
      </x:c>
      <x:c r="B18" s="475" t="str">
        <x:v>2026-02</x:v>
      </x:c>
      <x:c r="C18" s="475" t="str">
        <x:v>C001</x:v>
      </x:c>
      <x:c r="D18" s="475" t="str">
        <x:v>P140</x:v>
      </x:c>
      <x:c r="E18" s="475" t="n">
        <x:v>4</x:v>
      </x:c>
      <x:c r="F18" s="489" t="n">
        <x:v>7900</x:v>
      </x:c>
      <x:c r="G18" s="489" t="n">
        <x:f>E18*F18</x:f>
        <x:v>31600</x:v>
      </x:c>
      <x:c r="I18" s="475" t="str">
        <x:v>新增 2026-04 訂單</x:v>
      </x:c>
      <x:c r="J18" s="475" t="str">
        <x:v>只補 Orders，新分析仍能吃到維度表</x:v>
      </x:c>
    </x:row>
    <x:row r="19">
      <x:c r="A19" s="475" t="str">
        <x:v>O-2405</x:v>
      </x:c>
      <x:c r="B19" s="475" t="str">
        <x:v>2026-03</x:v>
      </x:c>
      <x:c r="C19" s="475" t="str">
        <x:v>C004</x:v>
      </x:c>
      <x:c r="D19" s="475" t="str">
        <x:v>P130</x:v>
      </x:c>
      <x:c r="E19" s="475" t="n">
        <x:v>2</x:v>
      </x:c>
      <x:c r="F19" s="489" t="n">
        <x:v>24000</x:v>
      </x:c>
      <x:c r="G19" s="489" t="n">
        <x:f>E19*F19</x:f>
        <x:v>48000</x:v>
      </x:c>
      <x:c r="I19" s="475" t="str">
        <x:v>什麼時候不用資料模型</x:v>
      </x:c>
      <x:c r="J19" s="475" t="str">
        <x:v>只有單表、單次分析、欄位不多時先別上</x:v>
      </x:c>
    </x:row>
    <x:row r="20">
      <x:c r="A20" s="475" t="str">
        <x:v>O-2406</x:v>
      </x:c>
      <x:c r="B20" s="475" t="str">
        <x:v>2026-03</x:v>
      </x:c>
      <x:c r="C20" s="475" t="str">
        <x:v>C005</x:v>
      </x:c>
      <x:c r="D20" s="475" t="str">
        <x:v>P120</x:v>
      </x:c>
      <x:c r="E20" s="475" t="n">
        <x:v>3</x:v>
      </x:c>
      <x:c r="F20" s="489" t="n">
        <x:v>12800</x:v>
      </x:c>
      <x:c r="G20" s="489" t="n">
        <x:f>E20*F20</x:f>
        <x:v>38400</x:v>
      </x:c>
    </x:row>
    <x:row r="21">
      <x:c r="A21" s="475" t="str">
        <x:v>O-2407</x:v>
      </x:c>
      <x:c r="B21" s="475" t="str">
        <x:v>2026-03</x:v>
      </x:c>
      <x:c r="C21" s="475" t="str">
        <x:v>C002</x:v>
      </x:c>
      <x:c r="D21" s="475" t="str">
        <x:v>P110</x:v>
      </x:c>
      <x:c r="E21" s="475" t="n">
        <x:v>25</x:v>
      </x:c>
      <x:c r="F21" s="489" t="n">
        <x:v>890</x:v>
      </x:c>
      <x:c r="G21" s="489" t="n">
        <x:f>E21*F21</x:f>
        <x:v>22250</x:v>
      </x:c>
    </x:row>
    <x:row r="24">
      <x:c r="A24" s="491" t="str">
        <x:v>練習建議：先用 XLOOKUP 把客戶名稱或商品分類帶回 Orders，再想像如果資料量變成 5 萬筆、10 張表，你還想一直手動串欄位嗎？這就是資料模型開始有價值的時刻。</x:v>
      </x:c>
      <x:c r="B24" s="491" t="str"/>
      <x:c r="C24" s="491" t="str"/>
      <x:c r="D24" s="491" t="str"/>
      <x:c r="E24" s="491" t="str"/>
      <x:c r="F24" s="491" t="str"/>
      <x:c r="G24" s="491" t="str"/>
      <x:c r="H24" s="491" t="str"/>
      <x:c r="I24" s="491" t="str"/>
      <x:c r="J24" s="491" t="str"/>
      <x:c r="K24" s="491" t="str"/>
    </x:row>
    <x:row r="25">
      <x:c r="A25" s="491"/>
      <x:c r="B25" s="491"/>
      <x:c r="C25" s="491"/>
      <x:c r="D25" s="491"/>
      <x:c r="E25" s="491"/>
      <x:c r="F25" s="491"/>
      <x:c r="G25" s="491"/>
      <x:c r="H25" s="491"/>
      <x:c r="I25" s="491"/>
      <x:c r="J25" s="491"/>
      <x:c r="K25" s="491"/>
    </x:row>
    <x:row r="26">
      <x:c r="A26" s="491"/>
      <x:c r="B26" s="491"/>
      <x:c r="C26" s="491"/>
      <x:c r="D26" s="491"/>
      <x:c r="E26" s="491"/>
      <x:c r="F26" s="491"/>
      <x:c r="G26" s="491"/>
      <x:c r="H26" s="491"/>
      <x:c r="I26" s="491"/>
      <x:c r="J26" s="491"/>
      <x:c r="K26" s="491"/>
    </x:row>
    <x:row r="27">
      <x:c r="A27" s="491"/>
      <x:c r="B27" s="491"/>
      <x:c r="C27" s="491"/>
      <x:c r="D27" s="491"/>
      <x:c r="E27" s="491"/>
      <x:c r="F27" s="491"/>
      <x:c r="G27" s="491"/>
      <x:c r="H27" s="491"/>
      <x:c r="I27" s="491"/>
      <x:c r="J27" s="491"/>
      <x:c r="K27" s="491"/>
    </x:row>
  </x:sheetData>
  <x:mergeCells>
    <x:mergeCell ref="A1:K1"/>
    <x:mergeCell ref="A2:K2"/>
    <x:mergeCell ref="A24:K27"/>
  </x:mergeCells>
  <x:pageMargins left="0.7" right="0.7" top="0.75" bottom="0.75" header="0.3" footer="0.3"/>
</x:worksheet>
</file>